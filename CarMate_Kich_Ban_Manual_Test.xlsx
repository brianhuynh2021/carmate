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Hướng dẫn" sheetId="1" state="visible" r:id="rId1"/>
    <sheet name="2. Tài khoản test" sheetId="2" state="visible" r:id="rId2"/>
    <sheet name="3. Kịch bản Manual" sheetId="3" state="visible" r:id="rId3"/>
    <sheet name="4. Ma trận thiết bị" sheetId="4" state="visible" r:id="rId4"/>
    <sheet name="5. Nhật ký lỗi" sheetId="5" state="visible" r:id="rId5"/>
    <sheet name="6. Nghiệm thu" sheetId="6" state="visible" r:id="rId6"/>
  </sheets>
  <definedNames>
    <definedName name="_xlnm._FilterDatabase" localSheetId="2" hidden="1">'3. Kịch bản Manual'!$A$1:$P$113</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4">
    <font>
      <name val="Calibri"/>
      <family val="2"/>
      <color theme="1"/>
      <sz val="11"/>
      <scheme val="minor"/>
    </font>
    <font>
      <name val="Arial"/>
      <b val="1"/>
      <color rgb="001F3864"/>
      <sz val="17"/>
    </font>
    <font>
      <name val="Arial"/>
      <i val="1"/>
      <color rgb="002E5C8A"/>
      <sz val="11"/>
    </font>
    <font>
      <name val="Arial"/>
      <b val="1"/>
      <color rgb="001F3864"/>
      <sz val="12"/>
    </font>
    <font>
      <name val="Arial"/>
      <b val="1"/>
      <sz val="10"/>
    </font>
    <font>
      <name val="Arial"/>
      <sz val="10"/>
    </font>
    <font>
      <name val="Arial"/>
      <i val="1"/>
      <color rgb="00808080"/>
      <sz val="9"/>
    </font>
    <font>
      <name val="Arial"/>
      <b val="1"/>
      <color rgb="001F3864"/>
      <sz val="14"/>
    </font>
    <font>
      <name val="Arial"/>
      <i val="1"/>
      <color rgb="00808080"/>
      <sz val="10"/>
    </font>
    <font>
      <name val="Arial"/>
      <b val="1"/>
      <color rgb="00FFFFFF"/>
      <sz val="10"/>
    </font>
    <font>
      <name val="Arial"/>
      <b val="1"/>
      <color rgb="001F3864"/>
      <sz val="10"/>
    </font>
    <font>
      <name val="Arial"/>
      <b val="1"/>
      <color rgb="00C00000"/>
      <sz val="10"/>
    </font>
    <font>
      <name val="Arial"/>
      <b val="1"/>
      <color rgb="001F3864"/>
      <sz val="15"/>
    </font>
    <font>
      <name val="Arial"/>
      <b val="1"/>
      <sz val="11"/>
    </font>
  </fonts>
  <fills count="8">
    <fill>
      <patternFill/>
    </fill>
    <fill>
      <patternFill patternType="gray125"/>
    </fill>
    <fill>
      <patternFill patternType="solid">
        <fgColor rgb="00FFFF00"/>
      </patternFill>
    </fill>
    <fill>
      <patternFill patternType="solid">
        <fgColor rgb="001F3864"/>
      </patternFill>
    </fill>
    <fill>
      <patternFill patternType="solid">
        <fgColor rgb="00FFFFCC"/>
      </patternFill>
    </fill>
    <fill>
      <patternFill patternType="solid">
        <fgColor rgb="002E5C8A"/>
      </patternFill>
    </fill>
    <fill>
      <patternFill patternType="solid">
        <fgColor rgb="00DCE6F1"/>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5" fillId="2"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5" fillId="0" borderId="1" applyAlignment="1" pivotButton="0" quotePrefix="0" xfId="0">
      <alignment horizontal="left" vertical="top" wrapText="1"/>
    </xf>
    <xf numFmtId="0" fontId="5" fillId="4" borderId="1" applyAlignment="1" pivotButton="0" quotePrefix="0" xfId="0">
      <alignment horizontal="center" vertical="top"/>
    </xf>
    <xf numFmtId="0" fontId="5" fillId="4" borderId="1" applyAlignment="1" pivotButton="0" quotePrefix="0" xfId="0">
      <alignment horizontal="left" vertical="top" wrapText="1"/>
    </xf>
    <xf numFmtId="0" fontId="9" fillId="5" borderId="1" applyAlignment="1" pivotButton="0" quotePrefix="0" xfId="0">
      <alignment horizontal="center" vertical="center" wrapText="1"/>
    </xf>
    <xf numFmtId="0" fontId="10" fillId="0" borderId="1" applyAlignment="1" pivotButton="0" quotePrefix="0" xfId="0">
      <alignment horizontal="center" vertical="top"/>
    </xf>
    <xf numFmtId="0" fontId="5" fillId="0" borderId="1" applyAlignment="1" pivotButton="0" quotePrefix="0" xfId="0">
      <alignment horizontal="center" vertical="top"/>
    </xf>
    <xf numFmtId="0" fontId="11" fillId="0" borderId="1" applyAlignment="1" pivotButton="0" quotePrefix="0" xfId="0">
      <alignment horizontal="center" vertical="top"/>
    </xf>
    <xf numFmtId="164" fontId="5" fillId="4" borderId="1" applyAlignment="1" pivotButton="0" quotePrefix="0" xfId="0">
      <alignment horizontal="center" vertical="top"/>
    </xf>
    <xf numFmtId="0" fontId="12" fillId="0" borderId="0" pivotButton="0" quotePrefix="0" xfId="0"/>
    <xf numFmtId="0" fontId="5" fillId="0" borderId="1" applyAlignment="1" pivotButton="0" quotePrefix="0" xfId="0">
      <alignment horizontal="left" vertical="center"/>
    </xf>
    <xf numFmtId="3" fontId="5" fillId="0" borderId="1" applyAlignment="1" pivotButton="0" quotePrefix="0" xfId="0">
      <alignment horizontal="center" vertical="center"/>
    </xf>
    <xf numFmtId="165" fontId="5" fillId="0" borderId="1" applyAlignment="1" pivotButton="0" quotePrefix="0" xfId="0">
      <alignment horizontal="center" vertical="center"/>
    </xf>
    <xf numFmtId="0" fontId="4" fillId="6" borderId="1" applyAlignment="1" pivotButton="0" quotePrefix="0" xfId="0">
      <alignment horizontal="left" vertical="center"/>
    </xf>
    <xf numFmtId="3" fontId="4" fillId="6" borderId="1" applyAlignment="1" pivotButton="0" quotePrefix="0" xfId="0">
      <alignment horizontal="center" vertical="center"/>
    </xf>
    <xf numFmtId="165" fontId="4" fillId="6" borderId="1" applyAlignment="1" pivotButton="0" quotePrefix="0" xfId="0">
      <alignment horizontal="center" vertical="center"/>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13" fillId="0" borderId="1" pivotButton="0" quotePrefix="0" xfId="0"/>
    <xf numFmtId="0" fontId="3" fillId="7" borderId="1" applyAlignment="1" pivotButton="0" quotePrefix="0" xfId="0">
      <alignment horizontal="center" vertical="center"/>
    </xf>
    <xf numFmtId="0" fontId="0" fillId="0" borderId="1" pivotButton="0" quotePrefix="0" xfId="0"/>
    <xf numFmtId="0" fontId="4" fillId="0" borderId="1" applyAlignment="1" pivotButton="0" quotePrefix="0" xfId="0">
      <alignment vertical="center" wrapText="1"/>
    </xf>
    <xf numFmtId="0" fontId="5" fillId="2" borderId="1" applyAlignment="1" pivotButton="0" quotePrefix="0" xfId="0">
      <alignment vertical="center" wrapText="1"/>
    </xf>
    <xf numFmtId="164" fontId="5" fillId="2" borderId="1" applyAlignment="1" pivotButton="0" quotePrefix="0" xfId="0">
      <alignment vertical="center" wrapText="1"/>
    </xf>
  </cellXfs>
  <cellStyles count="1">
    <cellStyle name="Normal" xfId="0" builtinId="0" hidden="0"/>
  </cellStyles>
  <dxfs count="5">
    <dxf>
      <font>
        <name val="Arial"/>
        <b val="1"/>
        <color rgb="00006100"/>
        <sz val="10"/>
      </font>
      <fill>
        <patternFill patternType="solid">
          <fgColor rgb="00C6EFCE"/>
        </patternFill>
      </fill>
    </dxf>
    <dxf>
      <font>
        <name val="Arial"/>
        <b val="1"/>
        <color rgb="009C0006"/>
        <sz val="10"/>
      </font>
      <fill>
        <patternFill patternType="solid">
          <fgColor rgb="00FFC7CE"/>
        </patternFill>
      </fill>
    </dxf>
    <dxf>
      <font>
        <name val="Arial"/>
        <b val="1"/>
        <color rgb="009C6500"/>
        <sz val="10"/>
      </font>
      <fill>
        <patternFill patternType="solid">
          <fgColor rgb="00FFEB9C"/>
        </patternFill>
      </fill>
    </dxf>
    <dxf>
      <font>
        <name val="Arial"/>
        <color rgb="00808080"/>
        <sz val="10"/>
      </font>
      <fill>
        <patternFill patternType="solid">
          <fgColor rgb="00F2F2F2"/>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QA</author>
  </authors>
  <commentList>
    <comment ref="G1" authorId="0" shapeId="0">
      <text>
        <t>Các số 1, 2, 3… ở cột "Các bước thao tác" tương ứng với số ở cột "Kết quả mong đợi".</t>
      </text>
    </comment>
    <comment ref="K1" authorId="0" shapeId="0">
      <text>
        <t>Pass = đúng toàn bộ. Fail = sai dù chỉ 1 ý. Blocked = không test được. N/A = không áp dụng.</t>
      </text>
    </comment>
  </commentList>
</comments>
</file>

<file path=xl/comments/comment2.xml><?xml version="1.0" encoding="utf-8"?>
<comments xmlns="http://schemas.openxmlformats.org/spreadsheetml/2006/main">
  <authors>
    <author>QA</author>
  </authors>
  <commentList>
    <comment ref="A1" authorId="0" shapeId="0">
      <text>
        <t>Mỗi case Fail ở sheet 3 phải có 1 dòng ở đây, và điền ngược mã lỗi này vào cột "Mã lỗi" của sheet 3.</t>
      </text>
    </comment>
  </commentList>
</comments>
</file>

<file path=xl/comments/comment3.xml><?xml version="1.0" encoding="utf-8"?>
<comments xmlns="http://schemas.openxmlformats.org/spreadsheetml/2006/main">
  <authors>
    <author>QA</author>
  </authors>
  <commentList>
    <comment ref="H6" authorId="0" shapeId="0">
      <text>
        <t>% Pass = Pass / (Tổng - N/A).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G36"/>
  <sheetViews>
    <sheetView showGridLines="0" workbookViewId="0">
      <selection activeCell="A1" sqref="A1"/>
    </sheetView>
  </sheetViews>
  <sheetFormatPr baseColWidth="8" defaultRowHeight="15"/>
  <cols>
    <col width="30"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CARMATE — KỊCH BẢN KIỂM THỬ THỦ CÔNG (MANUAL TEST)</t>
        </is>
      </c>
    </row>
    <row r="2">
      <c r="A2" s="2" t="inlineStr">
        <is>
          <t>Người test thao tác tay trên giao diện thật — không cần biết code, không cần công cụ gọi API.</t>
        </is>
      </c>
    </row>
    <row r="4">
      <c r="A4" s="3" t="inlineStr">
        <is>
          <t>THÔNG TIN ĐỢT KIỂM THỬ</t>
        </is>
      </c>
    </row>
    <row r="5">
      <c r="A5" s="4" t="inlineStr">
        <is>
          <t>Dự án</t>
        </is>
      </c>
      <c r="B5" s="5" t="inlineStr">
        <is>
          <t>CarMate — nền tảng đi chung xe tiện chuyến (carmate.vn)</t>
        </is>
      </c>
    </row>
    <row r="6">
      <c r="A6" s="4" t="inlineStr">
        <is>
          <t>Phiên bản / commit</t>
        </is>
      </c>
      <c r="B6" s="6" t="inlineStr">
        <is>
          <t>&lt;điền&gt;</t>
        </is>
      </c>
    </row>
    <row r="7">
      <c r="A7" s="4" t="inlineStr">
        <is>
          <t>Môi trường test</t>
        </is>
      </c>
      <c r="B7" s="6" t="inlineStr">
        <is>
          <t>&lt;Local http://localhost:5173  hoặc  Production https://carmate.vn&gt;</t>
        </is>
      </c>
    </row>
    <row r="8">
      <c r="A8" s="4" t="inlineStr">
        <is>
          <t>Ngày bắt đầu</t>
        </is>
      </c>
      <c r="B8" s="6" t="inlineStr">
        <is>
          <t>&lt;điền&gt;</t>
        </is>
      </c>
    </row>
    <row r="9">
      <c r="A9" s="4" t="inlineStr">
        <is>
          <t>Người phụ trách</t>
        </is>
      </c>
      <c r="B9" s="6" t="inlineStr">
        <is>
          <t>&lt;điền&gt;</t>
        </is>
      </c>
    </row>
    <row r="11">
      <c r="A11" s="3" t="inlineStr">
        <is>
          <t>CHUẨN BỊ TRƯỚC KHI TEST</t>
        </is>
      </c>
    </row>
    <row r="12">
      <c r="A12" s="7" t="inlineStr">
        <is>
          <t>1. Máy đã cài Node.js phiên bản 22 trở lên.</t>
        </is>
      </c>
    </row>
    <row r="13">
      <c r="A13" s="7" t="inlineStr">
        <is>
          <t>2. Mở Terminal tại thư mục dự án, chạy `npm install` (lần đầu) rồi `npm run dev`.</t>
        </is>
      </c>
    </row>
    <row r="14">
      <c r="A14" s="7" t="inlineStr">
        <is>
          <t>3. Mở trình duyệt vào http://localhost:5173 — web và API chạy chung một cổng, không cần bật thêm gì.</t>
        </is>
      </c>
    </row>
    <row r="15">
      <c r="A15" s="7" t="inlineStr">
        <is>
          <t>4. Chuẩn bị SẴN 4 tài khoản test ở sheet "2. Tài khoản test": 2 chủ xe, 1 người đi cùng, 1 quản trị.</t>
        </is>
      </c>
    </row>
    <row r="16">
      <c r="A16" s="7" t="inlineStr">
        <is>
          <t>5. Chuẩn bị 2 trình duyệt khác nhau (hoặc 1 thường + 1 ẩn danh) để test luồng 2 người cùng lúc.</t>
        </is>
      </c>
    </row>
    <row r="17">
      <c r="A17" s="7" t="inlineStr">
        <is>
          <t>6. Chuẩn bị 3-5 ảnh xe thật trên máy, trong đó ít nhất 1 ảnh thấy rõ biển số.</t>
        </is>
      </c>
    </row>
    <row r="18">
      <c r="A18" s="7" t="inlineStr">
        <is>
          <t>7. Máy/điện thoại có cài Zalo để kiểm tra nút "Nhắn Zalo".</t>
        </is>
      </c>
    </row>
    <row r="19">
      <c r="A19" s="7" t="inlineStr">
        <is>
          <t>8. Nên test theo đúng thứ tự luồng từ trên xuống — nhiều kịch bản sau cần dữ liệu do kịch bản trước tạo ra.</t>
        </is>
      </c>
    </row>
    <row r="21">
      <c r="A21" s="3" t="inlineStr">
        <is>
          <t>CÁCH GHI KẾT QUẢ</t>
        </is>
      </c>
    </row>
    <row r="22">
      <c r="A22" s="7" t="inlineStr">
        <is>
          <t>• Với mỗi dòng ở sheet "3. Kịch bản Manual": làm đúng từng bước trong cột "Các bước thao tác".</t>
        </is>
      </c>
    </row>
    <row r="23">
      <c r="A23" s="7" t="inlineStr">
        <is>
          <t>• So sánh với cột "Kết quả mong đợi" — các số 1, 2, 3 ở hai cột tương ứng với nhau.</t>
        </is>
      </c>
    </row>
    <row r="24">
      <c r="A24" s="7" t="inlineStr">
        <is>
          <t>• Ghi những gì THỰC TẾ nhìn thấy vào cột "Kết quả thực tế" (nếu đúng hoàn toàn thì ghi "Đúng như mong đợi").</t>
        </is>
      </c>
    </row>
    <row r="25">
      <c r="A25" s="7" t="inlineStr">
        <is>
          <t>• Chọn "Trạng thái": Pass (đúng hết) · Fail (sai dù chỉ 1 ý) · Blocked (không test được vì vướng lỗi khác) · N/A (không áp dụng).</t>
        </is>
      </c>
    </row>
    <row r="26">
      <c r="A26" s="7" t="inlineStr">
        <is>
          <t>• Mỗi case Fail phải mở 1 dòng ở sheet "5. Nhật ký lỗi" và điền mã lỗi ngược lại vào cột "Mã lỗi".</t>
        </is>
      </c>
    </row>
    <row r="27">
      <c r="A27" s="7" t="inlineStr">
        <is>
          <t>• Chụp màn hình mọi case Fail, đặt tên file theo mã kịch bản (VD: KVL-03.png) và ghi tên file vào cột "Bằng chứng".</t>
        </is>
      </c>
    </row>
    <row r="29">
      <c r="A29" s="3" t="inlineStr">
        <is>
          <t>CẤU TRÚC FILE</t>
        </is>
      </c>
    </row>
    <row r="30">
      <c r="A30" s="4" t="inlineStr">
        <is>
          <t>2. Tài khoản test</t>
        </is>
      </c>
      <c r="B30" s="5" t="inlineStr">
        <is>
          <t>Khai báo tài khoản, số điện thoại và dữ liệu mẫu dùng xuyên suốt đợt test.</t>
        </is>
      </c>
    </row>
    <row r="31">
      <c r="A31" s="4" t="inlineStr">
        <is>
          <t>3. Kịch bản Manual</t>
        </is>
      </c>
      <c r="B31" s="5" t="inlineStr">
        <is>
          <t>112 kịch bản thao tác tay theo 12 luồng nghiệp vụ. Sheet làm việc chính.</t>
        </is>
      </c>
    </row>
    <row r="32">
      <c r="A32" s="4" t="inlineStr">
        <is>
          <t>4. Ma trận thiết bị</t>
        </is>
      </c>
      <c r="B32" s="5" t="inlineStr">
        <is>
          <t>Chạy lại các luồng chính trên từng trình duyệt và thiết bị.</t>
        </is>
      </c>
    </row>
    <row r="33">
      <c r="A33" s="4" t="inlineStr">
        <is>
          <t>5. Nhật ký lỗi</t>
        </is>
      </c>
      <c r="B33" s="5" t="inlineStr">
        <is>
          <t>Ghi lỗi phát hiện được, mức độ, trạng thái xử lý.</t>
        </is>
      </c>
    </row>
    <row r="34">
      <c r="A34" s="4" t="inlineStr">
        <is>
          <t>6. Nghiệm thu</t>
        </is>
      </c>
      <c r="B34" s="5" t="inlineStr">
        <is>
          <t>Bảng tổng hợp tự động + tiêu chí thông qua + ô ký nghiệm thu.</t>
        </is>
      </c>
    </row>
    <row r="36">
      <c r="A36" s="8" t="inlineStr">
        <is>
          <t>Quy ước màu: ô nền vàng là chỗ người test điền tay. Ô nền trắng là nội dung dựng sẵn, không cần sửa.</t>
        </is>
      </c>
    </row>
  </sheetData>
  <mergeCells count="31">
    <mergeCell ref="A14:G14"/>
    <mergeCell ref="A17:G17"/>
    <mergeCell ref="A22:G22"/>
    <mergeCell ref="A4:G4"/>
    <mergeCell ref="B8:G8"/>
    <mergeCell ref="A29:G29"/>
    <mergeCell ref="A19:G19"/>
    <mergeCell ref="A13:G13"/>
    <mergeCell ref="B34:G34"/>
    <mergeCell ref="B9:G9"/>
    <mergeCell ref="A24:G24"/>
    <mergeCell ref="A15:G15"/>
    <mergeCell ref="B30:G30"/>
    <mergeCell ref="A11:G11"/>
    <mergeCell ref="B33:G33"/>
    <mergeCell ref="B6:G6"/>
    <mergeCell ref="A36:G36"/>
    <mergeCell ref="A1:G1"/>
    <mergeCell ref="B5:G5"/>
    <mergeCell ref="B32:G32"/>
    <mergeCell ref="A16:G16"/>
    <mergeCell ref="A25:G25"/>
    <mergeCell ref="B7:G7"/>
    <mergeCell ref="A18:G18"/>
    <mergeCell ref="A27:G27"/>
    <mergeCell ref="A21:G21"/>
    <mergeCell ref="B31:G31"/>
    <mergeCell ref="A12:G12"/>
    <mergeCell ref="A26:G26"/>
    <mergeCell ref="A2:G2"/>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28" customWidth="1" min="1" max="1"/>
    <col width="20" customWidth="1" min="2" max="2"/>
    <col width="26" customWidth="1" min="3" max="3"/>
    <col width="24" customWidth="1" min="4" max="4"/>
    <col width="44" customWidth="1" min="5" max="5"/>
    <col width="14" customWidth="1" min="6" max="6"/>
  </cols>
  <sheetData>
    <row r="1">
      <c r="A1" s="9" t="inlineStr">
        <is>
          <t>TÀI KHOẢN &amp; DỮ LIỆU DÙNG CHO ĐỢT TEST</t>
        </is>
      </c>
    </row>
    <row r="2">
      <c r="A2" s="10" t="inlineStr">
        <is>
          <t>Điền trước khi bắt đầu. Mọi kịch bản đều nhắc tới các vai này (Chủ xe A, Chủ xe B, Người đi cùng C, Quản trị).</t>
        </is>
      </c>
    </row>
    <row r="4">
      <c r="A4" s="11" t="inlineStr">
        <is>
          <t>Vai trò trong kịch bản</t>
        </is>
      </c>
      <c r="B4" s="11" t="inlineStr">
        <is>
          <t>Tên hiển thị</t>
        </is>
      </c>
      <c r="C4" s="11" t="inlineStr">
        <is>
          <t>Số điện thoại / Email</t>
        </is>
      </c>
      <c r="D4" s="11" t="inlineStr">
        <is>
          <t>Cách đăng nhập</t>
        </is>
      </c>
      <c r="E4" s="11" t="inlineStr">
        <is>
          <t>Ghi chú</t>
        </is>
      </c>
      <c r="F4" s="11" t="inlineStr">
        <is>
          <t>Đã tạo xong?</t>
        </is>
      </c>
    </row>
    <row r="5" ht="28" customHeight="1">
      <c r="A5" s="12" t="inlineStr">
        <is>
          <t>Chủ xe A</t>
        </is>
      </c>
      <c r="B5" s="13" t="inlineStr"/>
      <c r="C5" s="13" t="inlineStr"/>
      <c r="D5" s="13" t="inlineStr">
        <is>
          <t>OTP số điện thoại</t>
        </is>
      </c>
      <c r="E5" s="14" t="inlineStr">
        <is>
          <t>Dùng để đăng chuyến chính</t>
        </is>
      </c>
      <c r="F5" s="13" t="inlineStr"/>
    </row>
    <row r="6" ht="28" customHeight="1">
      <c r="A6" s="12" t="inlineStr">
        <is>
          <t>Chủ xe B</t>
        </is>
      </c>
      <c r="B6" s="13" t="inlineStr"/>
      <c r="C6" s="13" t="inlineStr"/>
      <c r="D6" s="13" t="inlineStr">
        <is>
          <t>Zalo hoặc Google</t>
        </is>
      </c>
      <c r="E6" s="14" t="inlineStr">
        <is>
          <t>Dùng để thử sửa/xoá bài của A (kiểm tra phân quyền)</t>
        </is>
      </c>
      <c r="F6" s="13" t="inlineStr"/>
    </row>
    <row r="7" ht="28" customHeight="1">
      <c r="A7" s="12" t="inlineStr">
        <is>
          <t>Người đi cùng C</t>
        </is>
      </c>
      <c r="B7" s="13" t="inlineStr"/>
      <c r="C7" s="13" t="inlineStr"/>
      <c r="D7" s="13" t="inlineStr">
        <is>
          <t>OTP số điện thoại</t>
        </is>
      </c>
      <c r="E7" s="14" t="inlineStr">
        <is>
          <t>Dùng để ghép chuyến với A</t>
        </is>
      </c>
      <c r="F7" s="13" t="inlineStr"/>
    </row>
    <row r="8" ht="28" customHeight="1">
      <c r="A8" s="12" t="inlineStr">
        <is>
          <t>Tài khoản D (người ngoài)</t>
        </is>
      </c>
      <c r="B8" s="13" t="inlineStr"/>
      <c r="C8" s="13" t="inlineStr"/>
      <c r="D8" s="13" t="inlineStr">
        <is>
          <t>Bất kỳ</t>
        </is>
      </c>
      <c r="E8" s="14" t="inlineStr">
        <is>
          <t>Không liên quan A–C, dùng thử truy cập trái phép</t>
        </is>
      </c>
      <c r="F8" s="13" t="inlineStr"/>
    </row>
    <row r="9" ht="28" customHeight="1">
      <c r="A9" s="12" t="inlineStr">
        <is>
          <t>Quản trị viên</t>
        </is>
      </c>
      <c r="B9" s="13" t="inlineStr"/>
      <c r="C9" s="13" t="inlineStr"/>
      <c r="D9" s="13" t="inlineStr">
        <is>
          <t>Cổng /admin + mã Telegram</t>
        </is>
      </c>
      <c r="E9" s="14" t="inlineStr">
        <is>
          <t>Cần bot Telegram đã cấu hình để nhận mã 2 lớp</t>
        </is>
      </c>
      <c r="F9" s="13" t="inlineStr"/>
    </row>
    <row r="10" ht="28" customHeight="1">
      <c r="A10" s="12" t="inlineStr">
        <is>
          <t>Tài khoản bỏ đi</t>
        </is>
      </c>
      <c r="B10" s="13" t="inlineStr"/>
      <c r="C10" s="13" t="inlineStr"/>
      <c r="D10" s="13" t="inlineStr">
        <is>
          <t>OTP số điện thoại</t>
        </is>
      </c>
      <c r="E10" s="14" t="inlineStr">
        <is>
          <t>Dùng riêng cho kịch bản xoá tài khoản vĩnh viễn</t>
        </is>
      </c>
      <c r="F10" s="13" t="inlineStr"/>
    </row>
    <row r="13">
      <c r="A13" s="3" t="inlineStr">
        <is>
          <t>DỮ LIỆU MẪU DÙNG CHUNG</t>
        </is>
      </c>
    </row>
    <row r="14">
      <c r="A14" s="15" t="inlineStr">
        <is>
          <t>Loại dữ liệu</t>
        </is>
      </c>
      <c r="B14" s="15" t="inlineStr">
        <is>
          <t>Giá trị dùng để test</t>
        </is>
      </c>
      <c r="C14" s="15" t="inlineStr">
        <is>
          <t>Dùng ở kịch bản nào</t>
        </is>
      </c>
    </row>
    <row r="15" ht="24" customHeight="1">
      <c r="A15" s="12" t="inlineStr">
        <is>
          <t>Tuyến chuẩn</t>
        </is>
      </c>
      <c r="B15" s="12" t="inlineStr">
        <is>
          <t>Chợ Lộc Ninh, Bình Phước → Bến xe Miền Đông, TP.HCM</t>
        </is>
      </c>
      <c r="C15" s="12" t="inlineStr">
        <is>
          <t>Đăng chuyến, lọc, ghép chuyến</t>
        </is>
      </c>
    </row>
    <row r="16" ht="24" customHeight="1">
      <c r="A16" s="12" t="inlineStr">
        <is>
          <t>Tuyến phụ</t>
        </is>
      </c>
      <c r="B16" s="12" t="inlineStr">
        <is>
          <t>Vũng Tàu → Sài Gòn</t>
        </is>
      </c>
      <c r="C16" s="12" t="inlineStr">
        <is>
          <t>Kiểm tra bộ lọc và radar</t>
        </is>
      </c>
    </row>
    <row r="17" ht="24" customHeight="1">
      <c r="A17" s="12" t="inlineStr">
        <is>
          <t>Giá tham chiếu</t>
        </is>
      </c>
      <c r="B17" s="12" t="inlineStr">
        <is>
          <t>180.000 đ / ghế</t>
        </is>
      </c>
      <c r="C17" s="12" t="inlineStr">
        <is>
          <t>Đăng chuyến, định giá tham khảo</t>
        </is>
      </c>
    </row>
    <row r="18" ht="24" customHeight="1">
      <c r="A18" s="12" t="inlineStr">
        <is>
          <t>Số điện thoại ảo (phải bị chặn)</t>
        </is>
      </c>
      <c r="B18" s="12" t="inlineStr">
        <is>
          <t>0000000000 · 0123456789 · 0999999999</t>
        </is>
      </c>
      <c r="C18" s="12" t="inlineStr">
        <is>
          <t>Kiểm tra chặn số ảo</t>
        </is>
      </c>
    </row>
    <row r="19" ht="24" customHeight="1">
      <c r="A19" s="12" t="inlineStr">
        <is>
          <t>Số điện thoại sai định dạng</t>
        </is>
      </c>
      <c r="B19" s="12" t="inlineStr">
        <is>
          <t>0123456789 · 0912 (quá ngắn)</t>
        </is>
      </c>
      <c r="C19" s="12" t="inlineStr">
        <is>
          <t>Kiểm tra validate đăng nhập</t>
        </is>
      </c>
    </row>
    <row r="20" ht="24" customHeight="1">
      <c r="A20" s="12" t="inlineStr">
        <is>
          <t>Biển số sai định dạng</t>
        </is>
      </c>
      <c r="B20" s="12" t="inlineStr">
        <is>
          <t>ABC-123</t>
        </is>
      </c>
      <c r="C20" s="12" t="inlineStr">
        <is>
          <t>Kiểm tra validate Garage</t>
        </is>
      </c>
    </row>
    <row r="21" ht="24" customHeight="1">
      <c r="A21" s="12" t="inlineStr">
        <is>
          <t>Biển số đúng định dạng</t>
        </is>
      </c>
      <c r="B21" s="12" t="inlineStr">
        <is>
          <t>51K-892.41</t>
        </is>
      </c>
      <c r="C21" s="12" t="inlineStr">
        <is>
          <t>Kiểm tra validate Garage</t>
        </is>
      </c>
    </row>
    <row r="22" ht="24" customHeight="1">
      <c r="A22" s="12" t="inlineStr">
        <is>
          <t>Chuỗi thử XSS 1</t>
        </is>
      </c>
      <c r="B22" s="12" t="inlineStr">
        <is>
          <t>&lt;script&gt;alert('XSS')&lt;/script&gt;</t>
        </is>
      </c>
      <c r="C22" s="12" t="inlineStr">
        <is>
          <t>Kiểm tra ô Ghi chú</t>
        </is>
      </c>
    </row>
    <row r="23" ht="24" customHeight="1">
      <c r="A23" s="12" t="inlineStr">
        <is>
          <t>Chuỗi thử XSS 2</t>
        </is>
      </c>
      <c r="B23" s="12" t="inlineStr">
        <is>
          <t>&lt;img src=x onerror=alert(1)&gt;</t>
        </is>
      </c>
      <c r="C23" s="12" t="inlineStr">
        <is>
          <t>Kiểm tra ô Ghi chú</t>
        </is>
      </c>
    </row>
    <row r="24" ht="24" customHeight="1">
      <c r="A24" s="12" t="inlineStr">
        <is>
          <t>Chuỗi tiếng Việt có dấu nháy</t>
        </is>
      </c>
      <c r="B24" s="12" t="inlineStr">
        <is>
          <t>Đón ở "ngã ba" nhé</t>
        </is>
      </c>
      <c r="C24" s="12" t="inlineStr">
        <is>
          <t>Kiểm tra hiển thị chữ Việt</t>
        </is>
      </c>
    </row>
    <row r="25" ht="24" customHeight="1">
      <c r="A25" s="12" t="inlineStr">
        <is>
          <t>Câu soạn chuyến tự nhiên</t>
        </is>
      </c>
      <c r="B25" s="12" t="inlineStr">
        <is>
          <t>mai 6h sáng đi Lộc Ninh xuống Sài Gòn còn 3 chỗ 180k</t>
        </is>
      </c>
      <c r="C25" s="12" t="inlineStr">
        <is>
          <t>Công cụ soạn chuyến thông minh</t>
        </is>
      </c>
    </row>
    <row r="26" ht="24" customHeight="1">
      <c r="A26" s="12" t="inlineStr">
        <is>
          <t>Tin nhắn chứa số điện thoại</t>
        </is>
      </c>
      <c r="B26" s="12" t="inlineStr">
        <is>
          <t>gọi em 0987654321 nhé</t>
        </is>
      </c>
      <c r="C26" s="12" t="inlineStr">
        <is>
          <t>Kiểm tra chặn trao số trong chat</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30" customWidth="1" min="3" max="3"/>
    <col width="18" customWidth="1" min="4" max="4"/>
    <col width="8" customWidth="1" min="5" max="5"/>
    <col width="28" customWidth="1" min="6" max="6"/>
    <col width="46" customWidth="1" min="7" max="7"/>
    <col width="24" customWidth="1" min="8" max="8"/>
    <col width="48" customWidth="1" min="9" max="9"/>
    <col width="30" customWidth="1" min="10" max="10"/>
    <col width="12" customWidth="1" min="11" max="11"/>
    <col width="11" customWidth="1" min="12" max="12"/>
    <col width="16" customWidth="1" min="13" max="13"/>
    <col width="14" customWidth="1" min="14" max="14"/>
    <col width="12" customWidth="1" min="15" max="15"/>
    <col width="20" customWidth="1" min="16" max="16"/>
  </cols>
  <sheetData>
    <row r="1">
      <c r="A1" s="11" t="inlineStr">
        <is>
          <t>Mã KB</t>
        </is>
      </c>
      <c r="B1" s="11" t="inlineStr">
        <is>
          <t>Luồng nghiệp vụ</t>
        </is>
      </c>
      <c r="C1" s="11" t="inlineStr">
        <is>
          <t>Tên kịch bản</t>
        </is>
      </c>
      <c r="D1" s="11" t="inlineStr">
        <is>
          <t>Vai trò người test</t>
        </is>
      </c>
      <c r="E1" s="11" t="inlineStr">
        <is>
          <t>Ưu tiên</t>
        </is>
      </c>
      <c r="F1" s="11" t="inlineStr">
        <is>
          <t>Điều kiện chuẩn bị</t>
        </is>
      </c>
      <c r="G1" s="11" t="inlineStr">
        <is>
          <t>Các bước thao tác</t>
        </is>
      </c>
      <c r="H1" s="11" t="inlineStr">
        <is>
          <t>Dữ liệu nhập</t>
        </is>
      </c>
      <c r="I1" s="11" t="inlineStr">
        <is>
          <t>Kết quả mong đợi</t>
        </is>
      </c>
      <c r="J1" s="11" t="inlineStr">
        <is>
          <t>Kết quả thực tế</t>
        </is>
      </c>
      <c r="K1" s="11" t="inlineStr">
        <is>
          <t>Trạng thái</t>
        </is>
      </c>
      <c r="L1" s="11" t="inlineStr">
        <is>
          <t>Mã lỗi</t>
        </is>
      </c>
      <c r="M1" s="11" t="inlineStr">
        <is>
          <t>Bằng chứng (ảnh)</t>
        </is>
      </c>
      <c r="N1" s="11" t="inlineStr">
        <is>
          <t>Người test</t>
        </is>
      </c>
      <c r="O1" s="11" t="inlineStr">
        <is>
          <t>Ngày test</t>
        </is>
      </c>
      <c r="P1" s="11" t="inlineStr">
        <is>
          <t>Thiết bị / Trình duyệt</t>
        </is>
      </c>
    </row>
    <row r="2" ht="86" customHeight="1">
      <c r="A2" s="16" t="inlineStr">
        <is>
          <t>KVL-01</t>
        </is>
      </c>
      <c r="B2" s="12" t="inlineStr">
        <is>
          <t>Khách vãng lai</t>
        </is>
      </c>
      <c r="C2" s="12" t="inlineStr">
        <is>
          <t>Mở trang chủ lần đầu</t>
        </is>
      </c>
      <c r="D2" s="17" t="inlineStr">
        <is>
          <t>Khách chưa đăng nhập</t>
        </is>
      </c>
      <c r="E2" s="18" t="inlineStr">
        <is>
          <t>Cao</t>
        </is>
      </c>
      <c r="F2" s="12" t="inlineStr">
        <is>
          <t>Đã chạy `npm run dev`. Dùng cửa sổ ẩn danh để chắc chắn chưa có phiên đăng nhập.</t>
        </is>
      </c>
      <c r="G2" s="12" t="inlineStr">
        <is>
          <t>1. Mở trình duyệt, vào http://localhost:5173
2. Chờ trang tải xong
3. Cuộn từ trên xuống hết trang</t>
        </is>
      </c>
      <c r="H2" s="12" t="inlineStr">
        <is>
          <t>-</t>
        </is>
      </c>
      <c r="I2" s="12" t="inlineStr">
        <is>
          <t>1. Trang tải dưới 3 giây, không màn hình trắng
2. Thấy Hero với dòng 'Đi chung - tiện chuyến - sẻ chia', 2 nút 'Tìm chuyến ngay' và 'Đăng chuyến chia sẻ chi phí'
3. Cuộn mượt, không tràn ngang, footer hiển thị đủ</t>
        </is>
      </c>
      <c r="J2" s="14" t="inlineStr"/>
      <c r="K2" s="13" t="inlineStr">
        <is>
          <t>Chưa test</t>
        </is>
      </c>
      <c r="L2" s="13" t="inlineStr"/>
      <c r="M2" s="13" t="inlineStr"/>
      <c r="N2" s="13" t="inlineStr"/>
      <c r="O2" s="19" t="n"/>
      <c r="P2" s="13" t="inlineStr"/>
    </row>
    <row r="3" ht="86" customHeight="1">
      <c r="A3" s="16" t="inlineStr">
        <is>
          <t>KVL-02</t>
        </is>
      </c>
      <c r="B3" s="12" t="inlineStr">
        <is>
          <t>Khách vãng lai</t>
        </is>
      </c>
      <c r="C3" s="12" t="inlineStr">
        <is>
          <t>Xem danh sách chuyến ngoài chợ</t>
        </is>
      </c>
      <c r="D3" s="17" t="inlineStr">
        <is>
          <t>Khách chưa đăng nhập</t>
        </is>
      </c>
      <c r="E3" s="18" t="inlineStr">
        <is>
          <t>Cao</t>
        </is>
      </c>
      <c r="F3" s="12" t="inlineStr">
        <is>
          <t>Hệ thống đã có ít nhất 5 chuyến đang mở.</t>
        </is>
      </c>
      <c r="G3" s="12" t="inlineStr">
        <is>
          <t>1. Ở tab 'Khám phá', cuộn tới danh sách thẻ chuyến
2. Quan sát 1 thẻ chuyến bất kỳ</t>
        </is>
      </c>
      <c r="H3" s="12" t="inlineStr">
        <is>
          <t>-</t>
        </is>
      </c>
      <c r="I3" s="12" t="inlineStr">
        <is>
          <t>1. Danh sách hiển thị các thẻ chuyến, có bộ đếm 'N chuyến phù hợp'
2. Mỗi thẻ có: tuyến đi–đến, ngày giờ, dòng xe kèm số chỗ (VD 'Mazda 2 · 5 chỗ'), giá/ghế, 'Còn N chỗ', bí danh chủ xe dạng CX-xxx, số sao và số chuyến</t>
        </is>
      </c>
      <c r="J3" s="14" t="inlineStr"/>
      <c r="K3" s="13" t="inlineStr">
        <is>
          <t>Chưa test</t>
        </is>
      </c>
      <c r="L3" s="13" t="inlineStr"/>
      <c r="M3" s="13" t="inlineStr"/>
      <c r="N3" s="13" t="inlineStr"/>
      <c r="O3" s="19" t="n"/>
      <c r="P3" s="13" t="inlineStr"/>
    </row>
    <row r="4" ht="86" customHeight="1">
      <c r="A4" s="16" t="inlineStr">
        <is>
          <t>KVL-03</t>
        </is>
      </c>
      <c r="B4" s="12" t="inlineStr">
        <is>
          <t>Khách vãng lai</t>
        </is>
      </c>
      <c r="C4" s="12" t="inlineStr">
        <is>
          <t>Số điện thoại luôn bị che</t>
        </is>
      </c>
      <c r="D4" s="17" t="inlineStr">
        <is>
          <t>Khách chưa đăng nhập</t>
        </is>
      </c>
      <c r="E4" s="18" t="inlineStr">
        <is>
          <t>Cao</t>
        </is>
      </c>
      <c r="F4" s="12" t="inlineStr">
        <is>
          <t>Đang ở tab 'Khám phá'.</t>
        </is>
      </c>
      <c r="G4" s="12" t="inlineStr">
        <is>
          <t>1. Xem kỹ mọi thẻ chuyến
2. Bấm vào 1 thẻ để mở chi tiết lộ trình
3. Rà toàn bộ nội dung trong cửa sổ chi tiết</t>
        </is>
      </c>
      <c r="H4" s="12" t="inlineStr">
        <is>
          <t>-</t>
        </is>
      </c>
      <c r="I4" s="12" t="inlineStr">
        <is>
          <t>1. Không nơi nào hiện số điện thoại đầy đủ
2. Chỉ thấy dạng che 098***2233
3. Trong chi tiết cũng không có số thật, không có nút gọi trực tiếp</t>
        </is>
      </c>
      <c r="J4" s="14" t="inlineStr"/>
      <c r="K4" s="13" t="inlineStr">
        <is>
          <t>Chưa test</t>
        </is>
      </c>
      <c r="L4" s="13" t="inlineStr"/>
      <c r="M4" s="13" t="inlineStr"/>
      <c r="N4" s="13" t="inlineStr"/>
      <c r="O4" s="19" t="n"/>
      <c r="P4" s="13" t="inlineStr"/>
    </row>
    <row r="5" ht="86" customHeight="1">
      <c r="A5" s="16" t="inlineStr">
        <is>
          <t>KVL-04</t>
        </is>
      </c>
      <c r="B5" s="12" t="inlineStr">
        <is>
          <t>Khách vãng lai</t>
        </is>
      </c>
      <c r="C5" s="12" t="inlineStr">
        <is>
          <t>Lọc theo tuyến đường</t>
        </is>
      </c>
      <c r="D5" s="17" t="inlineStr">
        <is>
          <t>Khách chưa đăng nhập</t>
        </is>
      </c>
      <c r="E5" s="18" t="inlineStr">
        <is>
          <t>Cao</t>
        </is>
      </c>
      <c r="F5" s="12" t="inlineStr">
        <is>
          <t>Có chuyến ở ít nhất 2 tuyến khác nhau.</t>
        </is>
      </c>
      <c r="G5" s="12" t="inlineStr">
        <is>
          <t>1. Ở thanh lọc, chọn 'Tuyến phổ biến' → chọn 1 tuyến (VD Lộc Ninh → Sài Gòn)
2. Đối chiếu danh sách kết quả
3. Bấm 'Xoá bộ lọc'</t>
        </is>
      </c>
      <c r="H5" s="12" t="inlineStr">
        <is>
          <t>Tuyến: Lộc Ninh → Sài Gòn</t>
        </is>
      </c>
      <c r="I5" s="12" t="inlineStr">
        <is>
          <t>1. Danh sách lọc lại ngay, chỉ còn chuyến đúng tuyến
2. Bộ đếm 'N chuyến phù hợp' khớp đúng số thẻ đang hiện
3. Bấm xoá lọc thì danh sách trở về đầy đủ</t>
        </is>
      </c>
      <c r="J5" s="14" t="inlineStr"/>
      <c r="K5" s="13" t="inlineStr">
        <is>
          <t>Chưa test</t>
        </is>
      </c>
      <c r="L5" s="13" t="inlineStr"/>
      <c r="M5" s="13" t="inlineStr"/>
      <c r="N5" s="13" t="inlineStr"/>
      <c r="O5" s="19" t="n"/>
      <c r="P5" s="13" t="inlineStr"/>
    </row>
    <row r="6" ht="86" customHeight="1">
      <c r="A6" s="16" t="inlineStr">
        <is>
          <t>KVL-05</t>
        </is>
      </c>
      <c r="B6" s="12" t="inlineStr">
        <is>
          <t>Khách vãng lai</t>
        </is>
      </c>
      <c r="C6" s="12" t="inlineStr">
        <is>
          <t>Lọc theo khung giờ &amp; chiều đi</t>
        </is>
      </c>
      <c r="D6" s="17" t="inlineStr">
        <is>
          <t>Khách chưa đăng nhập</t>
        </is>
      </c>
      <c r="E6" s="17" t="inlineStr">
        <is>
          <t>TB</t>
        </is>
      </c>
      <c r="F6" s="12" t="inlineStr">
        <is>
          <t>Có chuyến ở nhiều khung giờ.</t>
        </is>
      </c>
      <c r="G6" s="12" t="inlineStr">
        <is>
          <t>1. Chọn 'Khung giờ xuất phát' = Sáng
2. Chọn 'Chiều di chuyển' = Lên Sài Gòn
3. Xem danh sách</t>
        </is>
      </c>
      <c r="H6" s="12" t="inlineStr">
        <is>
          <t>Sáng · Lên Sài Gòn</t>
        </is>
      </c>
      <c r="I6" s="12" t="inlineStr">
        <is>
          <t>1-2. Bộ lọc áp dụng cộng dồn, chip 'Đang lọc' hiện đúng điều kiện đã chọn
3. Chỉ còn chuyến buổi sáng chiều lên Sài Gòn; nếu rỗng thì hiện 'Không tìm thấy chuyến phù hợp' kèm nút 'Xoá bộ lọc'</t>
        </is>
      </c>
      <c r="J6" s="14" t="inlineStr"/>
      <c r="K6" s="13" t="inlineStr">
        <is>
          <t>Chưa test</t>
        </is>
      </c>
      <c r="L6" s="13" t="inlineStr"/>
      <c r="M6" s="13" t="inlineStr"/>
      <c r="N6" s="13" t="inlineStr"/>
      <c r="O6" s="19" t="n"/>
      <c r="P6" s="13" t="inlineStr"/>
    </row>
    <row r="7" ht="86" customHeight="1">
      <c r="A7" s="16" t="inlineStr">
        <is>
          <t>KVL-06</t>
        </is>
      </c>
      <c r="B7" s="12" t="inlineStr">
        <is>
          <t>Khách vãng lai</t>
        </is>
      </c>
      <c r="C7" s="12" t="inlineStr">
        <is>
          <t>Tìm kiếm bằng từ khoá</t>
        </is>
      </c>
      <c r="D7" s="17" t="inlineStr">
        <is>
          <t>Khách chưa đăng nhập</t>
        </is>
      </c>
      <c r="E7" s="17" t="inlineStr">
        <is>
          <t>TB</t>
        </is>
      </c>
      <c r="F7" s="12" t="inlineStr">
        <is>
          <t>-</t>
        </is>
      </c>
      <c r="G7" s="12" t="inlineStr">
        <is>
          <t>1. Gõ vào ô 'Tìm tỉnh thành, quốc lộ, điểm đến…'
2. Xoá từ khoá</t>
        </is>
      </c>
      <c r="H7" s="12" t="inlineStr">
        <is>
          <t>Vũng Tàu</t>
        </is>
      </c>
      <c r="I7" s="12" t="inlineStr">
        <is>
          <t>1. Danh sách lọc theo từ khoá ngay khi gõ, không cần bấm Enter
2. Xoá xong danh sách trở lại đầy đủ</t>
        </is>
      </c>
      <c r="J7" s="14" t="inlineStr"/>
      <c r="K7" s="13" t="inlineStr">
        <is>
          <t>Chưa test</t>
        </is>
      </c>
      <c r="L7" s="13" t="inlineStr"/>
      <c r="M7" s="13" t="inlineStr"/>
      <c r="N7" s="13" t="inlineStr"/>
      <c r="O7" s="19" t="n"/>
      <c r="P7" s="13" t="inlineStr"/>
    </row>
    <row r="8" ht="86" customHeight="1">
      <c r="A8" s="16" t="inlineStr">
        <is>
          <t>KVL-07</t>
        </is>
      </c>
      <c r="B8" s="12" t="inlineStr">
        <is>
          <t>Khách vãng lai</t>
        </is>
      </c>
      <c r="C8" s="12" t="inlineStr">
        <is>
          <t>Xem chi tiết lộ trình</t>
        </is>
      </c>
      <c r="D8" s="17" t="inlineStr">
        <is>
          <t>Khách chưa đăng nhập</t>
        </is>
      </c>
      <c r="E8" s="18" t="inlineStr">
        <is>
          <t>Cao</t>
        </is>
      </c>
      <c r="F8" s="12" t="inlineStr">
        <is>
          <t>Có ít nhất 1 chuyến có ảnh xe và điểm dừng.</t>
        </is>
      </c>
      <c r="G8" s="12" t="inlineStr">
        <is>
          <t>1. Bấm vào 1 thẻ chuyến
2. Xem toàn bộ cửa sổ chi tiết
3. Bấm 'Đóng'</t>
        </is>
      </c>
      <c r="H8" s="12" t="inlineStr">
        <is>
          <t>-</t>
        </is>
      </c>
      <c r="I8" s="12" t="inlineStr">
        <is>
          <t>1. Mở cửa sổ chi tiết dạng sơ đồ tuyến, không giật
2. Có điểm đón – điểm trả, các điểm dừng dọc đường, khung giờ, chi phí chia sẻ, ảnh xe (biển số đã bị che)
3. Đóng lại về đúng vị trí cũ trong danh sách</t>
        </is>
      </c>
      <c r="J8" s="14" t="inlineStr"/>
      <c r="K8" s="13" t="inlineStr">
        <is>
          <t>Chưa test</t>
        </is>
      </c>
      <c r="L8" s="13" t="inlineStr"/>
      <c r="M8" s="13" t="inlineStr"/>
      <c r="N8" s="13" t="inlineStr"/>
      <c r="O8" s="19" t="n"/>
      <c r="P8" s="13" t="inlineStr"/>
    </row>
    <row r="9" ht="86" customHeight="1">
      <c r="A9" s="16" t="inlineStr">
        <is>
          <t>KVL-08</t>
        </is>
      </c>
      <c r="B9" s="12" t="inlineStr">
        <is>
          <t>Khách vãng lai</t>
        </is>
      </c>
      <c r="C9" s="12" t="inlineStr">
        <is>
          <t>Xem định giá tham khảo</t>
        </is>
      </c>
      <c r="D9" s="17" t="inlineStr">
        <is>
          <t>Khách chưa đăng nhập</t>
        </is>
      </c>
      <c r="E9" s="18" t="inlineStr">
        <is>
          <t>Cao</t>
        </is>
      </c>
      <c r="F9" s="12" t="inlineStr">
        <is>
          <t>Đã chọn 1 tuyến ở bộ lọc.</t>
        </is>
      </c>
      <c r="G9" s="12" t="inlineStr">
        <is>
          <t>1. Bấm vào thanh 'Định mức chia sẻ tuyến …'
2. Đọc nội dung cửa sổ 'Định giá tham khảo theo tuyến'
3. Đóng rồi mở lại 2-3 lần, đổi qua tuyến khác</t>
        </is>
      </c>
      <c r="H9" s="12" t="inlineStr">
        <is>
          <t>-</t>
        </is>
      </c>
      <c r="I9" s="12" t="inlineStr">
        <is>
          <t>1-2. Hiện quãng đường, tiền xăng RON 95, vé cầu đường, so sánh limousine/xe khách và đoạn miễn trừ 'Giá tham khảo · Tự do thoả thuận'
3. Mở lại nhiều lần số liệu không đổi lung tung, không làm thay đổi giá của bài đăng nào</t>
        </is>
      </c>
      <c r="J9" s="14" t="inlineStr"/>
      <c r="K9" s="13" t="inlineStr">
        <is>
          <t>Chưa test</t>
        </is>
      </c>
      <c r="L9" s="13" t="inlineStr"/>
      <c r="M9" s="13" t="inlineStr"/>
      <c r="N9" s="13" t="inlineStr"/>
      <c r="O9" s="19" t="n"/>
      <c r="P9" s="13" t="inlineStr"/>
    </row>
    <row r="10" ht="86" customHeight="1">
      <c r="A10" s="16" t="inlineStr">
        <is>
          <t>KVL-09</t>
        </is>
      </c>
      <c r="B10" s="12" t="inlineStr">
        <is>
          <t>Khách vãng lai</t>
        </is>
      </c>
      <c r="C10" s="12" t="inlineStr">
        <is>
          <t>Bấm ghép chuyến khi chưa đăng nhập</t>
        </is>
      </c>
      <c r="D10" s="17" t="inlineStr">
        <is>
          <t>Khách chưa đăng nhập</t>
        </is>
      </c>
      <c r="E10" s="18" t="inlineStr">
        <is>
          <t>Cao</t>
        </is>
      </c>
      <c r="F10" s="12" t="inlineStr">
        <is>
          <t>-</t>
        </is>
      </c>
      <c r="G10" s="12" t="inlineStr">
        <is>
          <t>1. Bấm nút 'Ghép chuyến' trên 1 thẻ chuyến
2. Quan sát cửa sổ hiện ra
3. Đóng cửa sổ đăng nhập</t>
        </is>
      </c>
      <c r="H10" s="12" t="inlineStr">
        <is>
          <t>-</t>
        </is>
      </c>
      <c r="I10" s="12" t="inlineStr">
        <is>
          <t>1-2. Hệ thống chặn lại và mở cửa sổ đăng nhập, KHÔNG tạo yêu cầu ghép
3. Đóng xong vẫn ở nguyên tab 'Khám phá', không mất bộ lọc đang chọn</t>
        </is>
      </c>
      <c r="J10" s="14" t="inlineStr"/>
      <c r="K10" s="13" t="inlineStr">
        <is>
          <t>Chưa test</t>
        </is>
      </c>
      <c r="L10" s="13" t="inlineStr"/>
      <c r="M10" s="13" t="inlineStr"/>
      <c r="N10" s="13" t="inlineStr"/>
      <c r="O10" s="19" t="n"/>
      <c r="P10" s="13" t="inlineStr"/>
    </row>
    <row r="11" ht="86" customHeight="1">
      <c r="A11" s="16" t="inlineStr">
        <is>
          <t>KVL-10</t>
        </is>
      </c>
      <c r="B11" s="12" t="inlineStr">
        <is>
          <t>Khách vãng lai</t>
        </is>
      </c>
      <c r="C11" s="12" t="inlineStr">
        <is>
          <t>Xem quy chế hoạt động</t>
        </is>
      </c>
      <c r="D11" s="17" t="inlineStr">
        <is>
          <t>Khách chưa đăng nhập</t>
        </is>
      </c>
      <c r="E11" s="17" t="inlineStr">
        <is>
          <t>TB</t>
        </is>
      </c>
      <c r="F11" s="12" t="inlineStr">
        <is>
          <t>-</t>
        </is>
      </c>
      <c r="G11" s="12" t="inlineStr">
        <is>
          <t>1. Cuộn xuống footer, bấm 'Quy chế'
2. Đọc hết nội dung
3. Đóng</t>
        </is>
      </c>
      <c r="H11" s="12" t="inlineStr">
        <is>
          <t>-</t>
        </is>
      </c>
      <c r="I11" s="12" t="inlineStr">
        <is>
          <t>1-2. Hiện đủ các mục: 0% phí sàn, kết nối trực tiếp, trách nhiệm chủ xe/người đi cùng, giới hạn trách nhiệm nền tảng, căn cứ pháp lý Điều 513 BLDS 2015
3. Đóng bình thường</t>
        </is>
      </c>
      <c r="J11" s="14" t="inlineStr"/>
      <c r="K11" s="13" t="inlineStr">
        <is>
          <t>Chưa test</t>
        </is>
      </c>
      <c r="L11" s="13" t="inlineStr"/>
      <c r="M11" s="13" t="inlineStr"/>
      <c r="N11" s="13" t="inlineStr"/>
      <c r="O11" s="19" t="n"/>
      <c r="P11" s="13" t="inlineStr"/>
    </row>
    <row r="12" ht="86" customHeight="1">
      <c r="A12" s="16" t="inlineStr">
        <is>
          <t>DNT-01</t>
        </is>
      </c>
      <c r="B12" s="12" t="inlineStr">
        <is>
          <t>Đăng nhập &amp; Tài khoản</t>
        </is>
      </c>
      <c r="C12" s="12" t="inlineStr">
        <is>
          <t>Đăng nhập bằng OTP số điện thoại</t>
        </is>
      </c>
      <c r="D12" s="17" t="inlineStr">
        <is>
          <t>Khách mới</t>
        </is>
      </c>
      <c r="E12" s="18" t="inlineStr">
        <is>
          <t>Cao</t>
        </is>
      </c>
      <c r="F12" s="12" t="inlineStr">
        <is>
          <t>Có 1 số điện thoại thật dùng để test.</t>
        </is>
      </c>
      <c r="G12" s="12" t="inlineStr">
        <is>
          <t>1. Bấm 'Đăng nhập / Đăng ký' ở góc phải header
2. Chọn đăng nhập bằng số điện thoại
3. Nhập số điện thoại → bấm gửi mã
4. Nhập mã OTP nhận được → xác nhận</t>
        </is>
      </c>
      <c r="H12" s="12" t="inlineStr">
        <is>
          <t>SĐT test: 09xx xxx xxx</t>
        </is>
      </c>
      <c r="I12" s="12" t="inlineStr">
        <is>
          <t>1-2. Cửa sổ đăng nhập mở, có đủ lựa chọn Zalo / Google / Telegram / SĐT
3. Báo đã gửi mã, nút gửi lại bị khoá kèm đếm ngược
4. Đăng nhập thành công, header đổi thành avatar người dùng, cửa sổ tự đóng</t>
        </is>
      </c>
      <c r="J12" s="14" t="inlineStr"/>
      <c r="K12" s="13" t="inlineStr">
        <is>
          <t>Chưa test</t>
        </is>
      </c>
      <c r="L12" s="13" t="inlineStr"/>
      <c r="M12" s="13" t="inlineStr"/>
      <c r="N12" s="13" t="inlineStr"/>
      <c r="O12" s="19" t="n"/>
      <c r="P12" s="13" t="inlineStr"/>
    </row>
    <row r="13" ht="86" customHeight="1">
      <c r="A13" s="16" t="inlineStr">
        <is>
          <t>DNT-02</t>
        </is>
      </c>
      <c r="B13" s="12" t="inlineStr">
        <is>
          <t>Đăng nhập &amp; Tài khoản</t>
        </is>
      </c>
      <c r="C13" s="12" t="inlineStr">
        <is>
          <t>Nhập sai định dạng số điện thoại</t>
        </is>
      </c>
      <c r="D13" s="17" t="inlineStr">
        <is>
          <t>Khách mới</t>
        </is>
      </c>
      <c r="E13" s="18" t="inlineStr">
        <is>
          <t>Cao</t>
        </is>
      </c>
      <c r="F13" s="12" t="inlineStr">
        <is>
          <t>Đang ở cửa sổ đăng nhập.</t>
        </is>
      </c>
      <c r="G13" s="12" t="inlineStr">
        <is>
          <t>1. Nhập số không đúng đầu số nhà mạng → bấm gửi mã
2. Thử tiếp 1 số quá ngắn</t>
        </is>
      </c>
      <c r="H13" s="12" t="inlineStr">
        <is>
          <t>0123456789 ; 0912</t>
        </is>
      </c>
      <c r="I13" s="12" t="inlineStr">
        <is>
          <t>1-2. Hiện lỗi ngay dưới ô nhập: số không đúng định dạng nhà mạng Việt Nam. Không gửi mã, không đóng cửa sổ</t>
        </is>
      </c>
      <c r="J13" s="14" t="inlineStr"/>
      <c r="K13" s="13" t="inlineStr">
        <is>
          <t>Chưa test</t>
        </is>
      </c>
      <c r="L13" s="13" t="inlineStr"/>
      <c r="M13" s="13" t="inlineStr"/>
      <c r="N13" s="13" t="inlineStr"/>
      <c r="O13" s="19" t="n"/>
      <c r="P13" s="13" t="inlineStr"/>
    </row>
    <row r="14" ht="86" customHeight="1">
      <c r="A14" s="16" t="inlineStr">
        <is>
          <t>DNT-03</t>
        </is>
      </c>
      <c r="B14" s="12" t="inlineStr">
        <is>
          <t>Đăng nhập &amp; Tài khoản</t>
        </is>
      </c>
      <c r="C14" s="12" t="inlineStr">
        <is>
          <t>Nhập sai mã OTP</t>
        </is>
      </c>
      <c r="D14" s="17" t="inlineStr">
        <is>
          <t>Khách mới</t>
        </is>
      </c>
      <c r="E14" s="18" t="inlineStr">
        <is>
          <t>Cao</t>
        </is>
      </c>
      <c r="F14" s="12" t="inlineStr">
        <is>
          <t>Đã nhận được mã OTP.</t>
        </is>
      </c>
      <c r="G14" s="12" t="inlineStr">
        <is>
          <t>1. Nhập mã sai → xác nhận
2. Nhập lại mã đúng → xác nhận</t>
        </is>
      </c>
      <c r="H14" s="12" t="inlineStr">
        <is>
          <t>OTP sai: 000000</t>
        </is>
      </c>
      <c r="I14" s="12" t="inlineStr">
        <is>
          <t>1. Báo 'Mã OTP không đúng hoặc đã hết hạn', không đăng nhập được
2. Nhập đúng thì vào bình thường</t>
        </is>
      </c>
      <c r="J14" s="14" t="inlineStr"/>
      <c r="K14" s="13" t="inlineStr">
        <is>
          <t>Chưa test</t>
        </is>
      </c>
      <c r="L14" s="13" t="inlineStr"/>
      <c r="M14" s="13" t="inlineStr"/>
      <c r="N14" s="13" t="inlineStr"/>
      <c r="O14" s="19" t="n"/>
      <c r="P14" s="13" t="inlineStr"/>
    </row>
    <row r="15" ht="86" customHeight="1">
      <c r="A15" s="16" t="inlineStr">
        <is>
          <t>DNT-04</t>
        </is>
      </c>
      <c r="B15" s="12" t="inlineStr">
        <is>
          <t>Đăng nhập &amp; Tài khoản</t>
        </is>
      </c>
      <c r="C15" s="12" t="inlineStr">
        <is>
          <t>Chống spam gửi lại mã</t>
        </is>
      </c>
      <c r="D15" s="17" t="inlineStr">
        <is>
          <t>Khách mới</t>
        </is>
      </c>
      <c r="E15" s="18" t="inlineStr">
        <is>
          <t>Cao</t>
        </is>
      </c>
      <c r="F15" s="12" t="inlineStr">
        <is>
          <t>Vừa bấm gửi mã 1 lần.</t>
        </is>
      </c>
      <c r="G15" s="12" t="inlineStr">
        <is>
          <t>1. Bấm 'Gửi lại mã' liên tục 5-6 lần thật nhanh
2. Đợi hết đếm ngược rồi bấm lại</t>
        </is>
      </c>
      <c r="H15" s="12" t="inlineStr">
        <is>
          <t>-</t>
        </is>
      </c>
      <c r="I15" s="12" t="inlineStr">
        <is>
          <t>1. Nút bị khoá trong lúc đếm ngược; nếu cố gửi thì báo phải đợi thêm N giây. Không nhận được nhiều tin nhắn
2. Hết đếm ngược mới gửi được lần tiếp theo</t>
        </is>
      </c>
      <c r="J15" s="14" t="inlineStr"/>
      <c r="K15" s="13" t="inlineStr">
        <is>
          <t>Chưa test</t>
        </is>
      </c>
      <c r="L15" s="13" t="inlineStr"/>
      <c r="M15" s="13" t="inlineStr"/>
      <c r="N15" s="13" t="inlineStr"/>
      <c r="O15" s="19" t="n"/>
      <c r="P15" s="13" t="inlineStr"/>
    </row>
    <row r="16" ht="86" customHeight="1">
      <c r="A16" s="16" t="inlineStr">
        <is>
          <t>DNT-05</t>
        </is>
      </c>
      <c r="B16" s="12" t="inlineStr">
        <is>
          <t>Đăng nhập &amp; Tài khoản</t>
        </is>
      </c>
      <c r="C16" s="12" t="inlineStr">
        <is>
          <t>Đăng nhập bằng Zalo</t>
        </is>
      </c>
      <c r="D16" s="17" t="inlineStr">
        <is>
          <t>Khách mới</t>
        </is>
      </c>
      <c r="E16" s="18" t="inlineStr">
        <is>
          <t>Cao</t>
        </is>
      </c>
      <c r="F16" s="12" t="inlineStr">
        <is>
          <t>Đã cấu hình Zalo App và có tài khoản Zalo thật.</t>
        </is>
      </c>
      <c r="G16" s="12" t="inlineStr">
        <is>
          <t>1. Bấm 'Đăng nhập / Đăng ký' → chọn Zalo
2. Hoàn tất cấp quyền trên màn hình Zalo
3. Quay lại CarMate</t>
        </is>
      </c>
      <c r="H16" s="12" t="inlineStr">
        <is>
          <t>-</t>
        </is>
      </c>
      <c r="I16" s="12" t="inlineStr">
        <is>
          <t>1-2. Chuyển sang màn hình xác thực của Zalo đúng ứng dụng CarMate
3. Quay về đăng nhập thành công, tên và ảnh đại diện lấy từ Zalo</t>
        </is>
      </c>
      <c r="J16" s="14" t="inlineStr"/>
      <c r="K16" s="13" t="inlineStr">
        <is>
          <t>Chưa test</t>
        </is>
      </c>
      <c r="L16" s="13" t="inlineStr"/>
      <c r="M16" s="13" t="inlineStr"/>
      <c r="N16" s="13" t="inlineStr"/>
      <c r="O16" s="19" t="n"/>
      <c r="P16" s="13" t="inlineStr"/>
    </row>
    <row r="17" ht="86" customHeight="1">
      <c r="A17" s="16" t="inlineStr">
        <is>
          <t>DNT-06</t>
        </is>
      </c>
      <c r="B17" s="12" t="inlineStr">
        <is>
          <t>Đăng nhập &amp; Tài khoản</t>
        </is>
      </c>
      <c r="C17" s="12" t="inlineStr">
        <is>
          <t>Đăng nhập bằng Google</t>
        </is>
      </c>
      <c r="D17" s="17" t="inlineStr">
        <is>
          <t>Khách mới</t>
        </is>
      </c>
      <c r="E17" s="18" t="inlineStr">
        <is>
          <t>Cao</t>
        </is>
      </c>
      <c r="F17" s="12" t="inlineStr">
        <is>
          <t>Có tài khoản Google thật.</t>
        </is>
      </c>
      <c r="G17" s="12" t="inlineStr">
        <is>
          <t>1. Bấm 'Đăng nhập / Đăng ký' → chọn Google
2. Chọn tài khoản Google
3. Quay lại CarMate</t>
        </is>
      </c>
      <c r="H17" s="12" t="inlineStr">
        <is>
          <t>-</t>
        </is>
      </c>
      <c r="I17" s="12" t="inlineStr">
        <is>
          <t>1-3. Đăng nhập thành công, hồ sơ nhận email và ảnh từ Google, không phải nhập lại OTP</t>
        </is>
      </c>
      <c r="J17" s="14" t="inlineStr"/>
      <c r="K17" s="13" t="inlineStr">
        <is>
          <t>Chưa test</t>
        </is>
      </c>
      <c r="L17" s="13" t="inlineStr"/>
      <c r="M17" s="13" t="inlineStr"/>
      <c r="N17" s="13" t="inlineStr"/>
      <c r="O17" s="19" t="n"/>
      <c r="P17" s="13" t="inlineStr"/>
    </row>
    <row r="18" ht="86" customHeight="1">
      <c r="A18" s="16" t="inlineStr">
        <is>
          <t>DNT-07</t>
        </is>
      </c>
      <c r="B18" s="12" t="inlineStr">
        <is>
          <t>Đăng nhập &amp; Tài khoản</t>
        </is>
      </c>
      <c r="C18" s="12" t="inlineStr">
        <is>
          <t>Giữ phiên khi tải lại trang</t>
        </is>
      </c>
      <c r="D18" s="17" t="inlineStr">
        <is>
          <t>Đã đăng nhập</t>
        </is>
      </c>
      <c r="E18" s="18" t="inlineStr">
        <is>
          <t>Cao</t>
        </is>
      </c>
      <c r="F18" s="12" t="inlineStr">
        <is>
          <t>Đã đăng nhập xong.</t>
        </is>
      </c>
      <c r="G18" s="12" t="inlineStr">
        <is>
          <t>1. Nhấn F5 tải lại trang
2. Đóng hẳn tab rồi mở lại http://localhost:5173</t>
        </is>
      </c>
      <c r="H18" s="12" t="inlineStr">
        <is>
          <t>-</t>
        </is>
      </c>
      <c r="I18" s="12" t="inlineStr">
        <is>
          <t>1-2. Vẫn đang đăng nhập, không bị đá về màn hình khách</t>
        </is>
      </c>
      <c r="J18" s="14" t="inlineStr"/>
      <c r="K18" s="13" t="inlineStr">
        <is>
          <t>Chưa test</t>
        </is>
      </c>
      <c r="L18" s="13" t="inlineStr"/>
      <c r="M18" s="13" t="inlineStr"/>
      <c r="N18" s="13" t="inlineStr"/>
      <c r="O18" s="19" t="n"/>
      <c r="P18" s="13" t="inlineStr"/>
    </row>
    <row r="19" ht="86" customHeight="1">
      <c r="A19" s="16" t="inlineStr">
        <is>
          <t>DNT-08</t>
        </is>
      </c>
      <c r="B19" s="12" t="inlineStr">
        <is>
          <t>Đăng nhập &amp; Tài khoản</t>
        </is>
      </c>
      <c r="C19" s="12" t="inlineStr">
        <is>
          <t>Đăng xuất</t>
        </is>
      </c>
      <c r="D19" s="17" t="inlineStr">
        <is>
          <t>Đã đăng nhập</t>
        </is>
      </c>
      <c r="E19" s="18" t="inlineStr">
        <is>
          <t>Cao</t>
        </is>
      </c>
      <c r="F19" s="12" t="inlineStr">
        <is>
          <t>Đã đăng nhập.</t>
        </is>
      </c>
      <c r="G19" s="12" t="inlineStr">
        <is>
          <t>1. Bấm avatar ở header → chọn 'Đăng xuất'
2. Tải lại trang</t>
        </is>
      </c>
      <c r="H19" s="12" t="inlineStr">
        <is>
          <t>-</t>
        </is>
      </c>
      <c r="I19" s="12" t="inlineStr">
        <is>
          <t>1. Về trạng thái khách, header hiện lại nút 'Đăng nhập / Đăng ký'
2. Tải lại vẫn là khách, không tự đăng nhập lại</t>
        </is>
      </c>
      <c r="J19" s="14" t="inlineStr"/>
      <c r="K19" s="13" t="inlineStr">
        <is>
          <t>Chưa test</t>
        </is>
      </c>
      <c r="L19" s="13" t="inlineStr"/>
      <c r="M19" s="13" t="inlineStr"/>
      <c r="N19" s="13" t="inlineStr"/>
      <c r="O19" s="19" t="n"/>
      <c r="P19" s="13" t="inlineStr"/>
    </row>
    <row r="20" ht="86" customHeight="1">
      <c r="A20" s="16" t="inlineStr">
        <is>
          <t>DNT-09</t>
        </is>
      </c>
      <c r="B20" s="12" t="inlineStr">
        <is>
          <t>Đăng nhập &amp; Tài khoản</t>
        </is>
      </c>
      <c r="C20" s="12" t="inlineStr">
        <is>
          <t>Cập nhật hồ sơ cá nhân</t>
        </is>
      </c>
      <c r="D20" s="17" t="inlineStr">
        <is>
          <t>Đã đăng nhập</t>
        </is>
      </c>
      <c r="E20" s="18" t="inlineStr">
        <is>
          <t>Cao</t>
        </is>
      </c>
      <c r="F20" s="12" t="inlineStr">
        <is>
          <t>Đã đăng nhập.</t>
        </is>
      </c>
      <c r="G20" s="12" t="inlineStr">
        <is>
          <t>1. Bấm avatar → 'Hồ sơ &amp; Garage của tôi'
2. Sửa tên hiển thị, chọn giới tính, tải ảnh đại diện
3. Lưu lại
4. Tải lại trang và mở lại hồ sơ</t>
        </is>
      </c>
      <c r="H20" s="12" t="inlineStr">
        <is>
          <t>Tên: Nguyễn Văn A · Giới tính: Nam</t>
        </is>
      </c>
      <c r="I20" s="12" t="inlineStr">
        <is>
          <t>1-3. Lưu thành công, có thông báo xác nhận
4. Thông tin vẫn còn sau khi tải lại; điểm tín nhiệm tăng thêm khi có ảnh đại diện và giới tính</t>
        </is>
      </c>
      <c r="J20" s="14" t="inlineStr"/>
      <c r="K20" s="13" t="inlineStr">
        <is>
          <t>Chưa test</t>
        </is>
      </c>
      <c r="L20" s="13" t="inlineStr"/>
      <c r="M20" s="13" t="inlineStr"/>
      <c r="N20" s="13" t="inlineStr"/>
      <c r="O20" s="19" t="n"/>
      <c r="P20" s="13" t="inlineStr"/>
    </row>
    <row r="21" ht="86" customHeight="1">
      <c r="A21" s="16" t="inlineStr">
        <is>
          <t>DNT-10</t>
        </is>
      </c>
      <c r="B21" s="12" t="inlineStr">
        <is>
          <t>Đăng nhập &amp; Tài khoản</t>
        </is>
      </c>
      <c r="C21" s="12" t="inlineStr">
        <is>
          <t>Nhập sai biển số xe trong Garage</t>
        </is>
      </c>
      <c r="D21" s="17" t="inlineStr">
        <is>
          <t>Đã đăng nhập</t>
        </is>
      </c>
      <c r="E21" s="18" t="inlineStr">
        <is>
          <t>Cao</t>
        </is>
      </c>
      <c r="F21" s="12" t="inlineStr">
        <is>
          <t>Đang ở màn 'Hồ sơ &amp; Garage của tôi'.</t>
        </is>
      </c>
      <c r="G21" s="12" t="inlineStr">
        <is>
          <t>1. Nhập biển số sai định dạng → Lưu
2. Nhập biển số đúng định dạng → Lưu</t>
        </is>
      </c>
      <c r="H21" s="12" t="inlineStr">
        <is>
          <t>Sai: ABC-123 · Đúng: 51K-892.41</t>
        </is>
      </c>
      <c r="I21" s="12" t="inlineStr">
        <is>
          <t>1. Báo lỗi 'Biển số xe không đúng định dạng Việt Nam', không lưu
2. Lưu thành công</t>
        </is>
      </c>
      <c r="J21" s="14" t="inlineStr"/>
      <c r="K21" s="13" t="inlineStr">
        <is>
          <t>Chưa test</t>
        </is>
      </c>
      <c r="L21" s="13" t="inlineStr"/>
      <c r="M21" s="13" t="inlineStr"/>
      <c r="N21" s="13" t="inlineStr"/>
      <c r="O21" s="19" t="n"/>
      <c r="P21" s="13" t="inlineStr"/>
    </row>
    <row r="22" ht="86" customHeight="1">
      <c r="A22" s="16" t="inlineStr">
        <is>
          <t>DNT-11</t>
        </is>
      </c>
      <c r="B22" s="12" t="inlineStr">
        <is>
          <t>Đăng nhập &amp; Tài khoản</t>
        </is>
      </c>
      <c r="C22" s="12" t="inlineStr">
        <is>
          <t>Xóa tài khoản vĩnh viễn</t>
        </is>
      </c>
      <c r="D22" s="17" t="inlineStr">
        <is>
          <t>Đã đăng nhập</t>
        </is>
      </c>
      <c r="E22" s="18" t="inlineStr">
        <is>
          <t>Cao</t>
        </is>
      </c>
      <c r="F22" s="12" t="inlineStr">
        <is>
          <t>Dùng TÀI KHOẢN TEST RIÊNG, không dùng tài khoản thật.</t>
        </is>
      </c>
      <c r="G22" s="12" t="inlineStr">
        <is>
          <t>1. Bấm avatar → 'Xóa tài khoản vĩnh viễn'
2. Đọc cảnh báo, xác nhận xóa
3. Thử đăng nhập lại bằng số điện thoại đó</t>
        </is>
      </c>
      <c r="H22" s="12" t="inlineStr">
        <is>
          <t>Tài khoản test bỏ đi</t>
        </is>
      </c>
      <c r="I22" s="12" t="inlineStr">
        <is>
          <t>1-2. Có cảnh báo rõ ràng không thể hoàn tác; xác nhận xong bị đăng xuất ngay
3. Đăng nhập lại thì là tài khoản mới trắng trơn, không còn chuyến và dữ liệu cũ</t>
        </is>
      </c>
      <c r="J22" s="14" t="inlineStr"/>
      <c r="K22" s="13" t="inlineStr">
        <is>
          <t>Chưa test</t>
        </is>
      </c>
      <c r="L22" s="13" t="inlineStr"/>
      <c r="M22" s="13" t="inlineStr"/>
      <c r="N22" s="13" t="inlineStr"/>
      <c r="O22" s="19" t="n"/>
      <c r="P22" s="13" t="inlineStr"/>
    </row>
    <row r="23" ht="86" customHeight="1">
      <c r="A23" s="16" t="inlineStr">
        <is>
          <t>CXD-01</t>
        </is>
      </c>
      <c r="B23" s="12" t="inlineStr">
        <is>
          <t>Chủ xe đăng chuyến</t>
        </is>
      </c>
      <c r="C23" s="12" t="inlineStr">
        <is>
          <t>Mở form đăng chuyến</t>
        </is>
      </c>
      <c r="D23" s="17" t="inlineStr">
        <is>
          <t>Chủ xe</t>
        </is>
      </c>
      <c r="E23" s="18" t="inlineStr">
        <is>
          <t>Cao</t>
        </is>
      </c>
      <c r="F23" s="12" t="inlineStr">
        <is>
          <t>Đã đăng nhập.</t>
        </is>
      </c>
      <c r="G23" s="12" t="inlineStr">
        <is>
          <t>1. Bấm nút 'Đăng chuyến' ở header (hoặc nút tròn xanh giữa thanh dưới trên mobile)
2. Xem cửa sổ 'Bạn muốn đăng nhu cầu nào?'
3. Chọn 'Đăng xe trống'</t>
        </is>
      </c>
      <c r="H23" s="12" t="inlineStr">
        <is>
          <t>-</t>
        </is>
      </c>
      <c r="I23" s="12" t="inlineStr">
        <is>
          <t>1-2. Hiện 2 lựa chọn 'Đăng xe trống' (Chủ xe) và 'Tôi cần tìm xe' (Người tìm xe), mô tả rõ ràng
3. Mở form 'Đăng chuyến đi' với vai trò Chủ xe được chọn sẵn</t>
        </is>
      </c>
      <c r="J23" s="14" t="inlineStr"/>
      <c r="K23" s="13" t="inlineStr">
        <is>
          <t>Chưa test</t>
        </is>
      </c>
      <c r="L23" s="13" t="inlineStr"/>
      <c r="M23" s="13" t="inlineStr"/>
      <c r="N23" s="13" t="inlineStr"/>
      <c r="O23" s="19" t="n"/>
      <c r="P23" s="13" t="inlineStr"/>
    </row>
    <row r="24" ht="86" customHeight="1">
      <c r="A24" s="16" t="inlineStr">
        <is>
          <t>CXD-02</t>
        </is>
      </c>
      <c r="B24" s="12" t="inlineStr">
        <is>
          <t>Chủ xe đăng chuyến</t>
        </is>
      </c>
      <c r="C24" s="12" t="inlineStr">
        <is>
          <t>Đăng chuyến đầy đủ thông tin</t>
        </is>
      </c>
      <c r="D24" s="17" t="inlineStr">
        <is>
          <t>Chủ xe</t>
        </is>
      </c>
      <c r="E24" s="18" t="inlineStr">
        <is>
          <t>Cao</t>
        </is>
      </c>
      <c r="F24" s="12" t="inlineStr">
        <is>
          <t>Đang ở form đăng chuyến, vai trò Chủ xe.</t>
        </is>
      </c>
      <c r="G24" s="12" t="inlineStr">
        <is>
          <t>1. Điểm đón: nhập và chọn gợi ý
2. Điểm đến: nhập và chọn gợi ý
3. Chọn 'Ngày đi' và 'Khung giờ xuất phát'
4. Chọn loại xe, 'Số ghế trống', nhập 'Chi phí chia sẻ (đ/ghế)'
5. Nhập 'Dòng xe' và 'Số điện thoại Zalo'
6. Bấm 'Đăng chuyến &amp; tạo thẻ chia sẻ'</t>
        </is>
      </c>
      <c r="H24" s="12" t="inlineStr">
        <is>
          <t>Chợ Lộc Ninh, Bình Phước → Bến xe Miền Đông · Ngày mai · Sáng · Xe 5 chỗ · 3 ghế · 180.000 · Mazda 2 · SĐT thật</t>
        </is>
      </c>
      <c r="I24" s="12" t="inlineStr">
        <is>
          <t>1-2. Ô nhập có gợi ý địa danh, chọn xong tự điền
3-5. Nhập được bình thường, giá hiện gợi ý định mức tuyến
6. Đăng thành công, tự mở 'Thẻ thông tin chuyến đi', chuyến xuất hiện ngay ngoài 'Khám phá' và trong 'Chuyến của tôi'</t>
        </is>
      </c>
      <c r="J24" s="14" t="inlineStr"/>
      <c r="K24" s="13" t="inlineStr">
        <is>
          <t>Chưa test</t>
        </is>
      </c>
      <c r="L24" s="13" t="inlineStr"/>
      <c r="M24" s="13" t="inlineStr"/>
      <c r="N24" s="13" t="inlineStr"/>
      <c r="O24" s="19" t="n"/>
      <c r="P24" s="13" t="inlineStr"/>
    </row>
    <row r="25" ht="86" customHeight="1">
      <c r="A25" s="16" t="inlineStr">
        <is>
          <t>CXD-03</t>
        </is>
      </c>
      <c r="B25" s="12" t="inlineStr">
        <is>
          <t>Chủ xe đăng chuyến</t>
        </is>
      </c>
      <c r="C25" s="12" t="inlineStr">
        <is>
          <t>Bỏ trống trường bắt buộc</t>
        </is>
      </c>
      <c r="D25" s="17" t="inlineStr">
        <is>
          <t>Chủ xe</t>
        </is>
      </c>
      <c r="E25" s="18" t="inlineStr">
        <is>
          <t>Cao</t>
        </is>
      </c>
      <c r="F25" s="12" t="inlineStr">
        <is>
          <t>Đang ở form đăng chuyến.</t>
        </is>
      </c>
      <c r="G25" s="12" t="inlineStr">
        <is>
          <t>1. Để trống Điểm đón → bấm 'Đăng chuyến &amp; tạo thẻ chia sẻ'
2. Điền Điểm đón, để trống Số điện thoại Zalo → bấm đăng lại</t>
        </is>
      </c>
      <c r="H25" s="12" t="inlineStr">
        <is>
          <t>-</t>
        </is>
      </c>
      <c r="I25" s="12" t="inlineStr">
        <is>
          <t>1-2. Báo lỗi ngay tại ô còn thiếu, cuộn tới đúng ô đó, không gửi bài đăng. Dữ liệu đã nhập không bị mất</t>
        </is>
      </c>
      <c r="J25" s="14" t="inlineStr"/>
      <c r="K25" s="13" t="inlineStr">
        <is>
          <t>Chưa test</t>
        </is>
      </c>
      <c r="L25" s="13" t="inlineStr"/>
      <c r="M25" s="13" t="inlineStr"/>
      <c r="N25" s="13" t="inlineStr"/>
      <c r="O25" s="19" t="n"/>
      <c r="P25" s="13" t="inlineStr"/>
    </row>
    <row r="26" ht="86" customHeight="1">
      <c r="A26" s="16" t="inlineStr">
        <is>
          <t>CXD-04</t>
        </is>
      </c>
      <c r="B26" s="12" t="inlineStr">
        <is>
          <t>Chủ xe đăng chuyến</t>
        </is>
      </c>
      <c r="C26" s="12" t="inlineStr">
        <is>
          <t>Nhập số điện thoại ảo</t>
        </is>
      </c>
      <c r="D26" s="17" t="inlineStr">
        <is>
          <t>Chủ xe</t>
        </is>
      </c>
      <c r="E26" s="18" t="inlineStr">
        <is>
          <t>Cao</t>
        </is>
      </c>
      <c r="F26" s="12" t="inlineStr">
        <is>
          <t>Đang ở form đăng chuyến.</t>
        </is>
      </c>
      <c r="G26" s="12" t="inlineStr">
        <is>
          <t>1. Nhập số điện thoại dạng ảo vào ô 'Số điện thoại Zalo' → bấm đăng
2. Thử lần lượt vài số ảo khác</t>
        </is>
      </c>
      <c r="H26" s="12" t="inlineStr">
        <is>
          <t>0000000000 · 0123456789 · 0999999999</t>
        </is>
      </c>
      <c r="I26" s="12" t="inlineStr">
        <is>
          <t>1-2. Bị chặn với thông báo số điện thoại không hợp lệ hoặc có dấu hiệu số ảo. Không tạo được bài đăng</t>
        </is>
      </c>
      <c r="J26" s="14" t="inlineStr"/>
      <c r="K26" s="13" t="inlineStr">
        <is>
          <t>Chưa test</t>
        </is>
      </c>
      <c r="L26" s="13" t="inlineStr"/>
      <c r="M26" s="13" t="inlineStr"/>
      <c r="N26" s="13" t="inlineStr"/>
      <c r="O26" s="19" t="n"/>
      <c r="P26" s="13" t="inlineStr"/>
    </row>
    <row r="27" ht="86" customHeight="1">
      <c r="A27" s="16" t="inlineStr">
        <is>
          <t>CXD-05</t>
        </is>
      </c>
      <c r="B27" s="12" t="inlineStr">
        <is>
          <t>Chủ xe đăng chuyến</t>
        </is>
      </c>
      <c r="C27" s="12" t="inlineStr">
        <is>
          <t>Giới hạn ghế theo loại xe 5 chỗ</t>
        </is>
      </c>
      <c r="D27" s="17" t="inlineStr">
        <is>
          <t>Chủ xe</t>
        </is>
      </c>
      <c r="E27" s="18" t="inlineStr">
        <is>
          <t>Cao</t>
        </is>
      </c>
      <c r="F27" s="12" t="inlineStr">
        <is>
          <t>Đang ở form đăng chuyến.</t>
        </is>
      </c>
      <c r="G27" s="12" t="inlineStr">
        <is>
          <t>1. Chọn loại xe 4–5 chỗ
2. Mở danh sách 'Số ghế trống'
3. Chọn số ghế lớn nhất có thể</t>
        </is>
      </c>
      <c r="H27" s="12" t="inlineStr">
        <is>
          <t>Xe 4–5 chỗ</t>
        </is>
      </c>
      <c r="I27" s="12" t="inlineStr">
        <is>
          <t>1-2. Danh sách chỉ cho chọn tối đa 4 ghế (trừ ghế lái)
3. Không có cách nào chọn được 5 ghế trở lên; có ghi chú khuyên nhận 3 người cho thoải mái</t>
        </is>
      </c>
      <c r="J27" s="14" t="inlineStr"/>
      <c r="K27" s="13" t="inlineStr">
        <is>
          <t>Chưa test</t>
        </is>
      </c>
      <c r="L27" s="13" t="inlineStr"/>
      <c r="M27" s="13" t="inlineStr"/>
      <c r="N27" s="13" t="inlineStr"/>
      <c r="O27" s="19" t="n"/>
      <c r="P27" s="13" t="inlineStr"/>
    </row>
    <row r="28" ht="86" customHeight="1">
      <c r="A28" s="16" t="inlineStr">
        <is>
          <t>CXD-06</t>
        </is>
      </c>
      <c r="B28" s="12" t="inlineStr">
        <is>
          <t>Chủ xe đăng chuyến</t>
        </is>
      </c>
      <c r="C28" s="12" t="inlineStr">
        <is>
          <t>Giới hạn ghế theo loại xe 7 chỗ</t>
        </is>
      </c>
      <c r="D28" s="17" t="inlineStr">
        <is>
          <t>Chủ xe</t>
        </is>
      </c>
      <c r="E28" s="18" t="inlineStr">
        <is>
          <t>Cao</t>
        </is>
      </c>
      <c r="F28" s="12" t="inlineStr">
        <is>
          <t>Đang ở form đăng chuyến.</t>
        </is>
      </c>
      <c r="G28" s="12" t="inlineStr">
        <is>
          <t>1. Chọn loại xe 7 chỗ
2. Mở danh sách 'Số ghế trống'
3. Đổi ngược lại về xe 5 chỗ trong khi đang chọn 6 ghế</t>
        </is>
      </c>
      <c r="H28" s="12" t="inlineStr">
        <is>
          <t>Xe 7 chỗ → 6 ghế → đổi về 5 chỗ</t>
        </is>
      </c>
      <c r="I28" s="12" t="inlineStr">
        <is>
          <t>1-2. Cho chọn tối đa 6 ghế
3. Khi đổi về xe 5 chỗ, số ghế tự hạ xuống tối đa 4, không giữ lại giá trị 6 sai lệch</t>
        </is>
      </c>
      <c r="J28" s="14" t="inlineStr"/>
      <c r="K28" s="13" t="inlineStr">
        <is>
          <t>Chưa test</t>
        </is>
      </c>
      <c r="L28" s="13" t="inlineStr"/>
      <c r="M28" s="13" t="inlineStr"/>
      <c r="N28" s="13" t="inlineStr"/>
      <c r="O28" s="19" t="n"/>
      <c r="P28" s="13" t="inlineStr"/>
    </row>
    <row r="29" ht="86" customHeight="1">
      <c r="A29" s="16" t="inlineStr">
        <is>
          <t>CXD-07</t>
        </is>
      </c>
      <c r="B29" s="12" t="inlineStr">
        <is>
          <t>Chủ xe đăng chuyến</t>
        </is>
      </c>
      <c r="C29" s="12" t="inlineStr">
        <is>
          <t>Xem trước bài đăng khi đang nhập</t>
        </is>
      </c>
      <c r="D29" s="17" t="inlineStr">
        <is>
          <t>Chủ xe</t>
        </is>
      </c>
      <c r="E29" s="17" t="inlineStr">
        <is>
          <t>TB</t>
        </is>
      </c>
      <c r="F29" s="12" t="inlineStr">
        <is>
          <t>Đang ở form đăng chuyến.</t>
        </is>
      </c>
      <c r="G29" s="12" t="inlineStr">
        <is>
          <t>1. Vừa nhập tuyến, giờ, giá vừa nhìn khối xem trước
2. Sửa lại giá và số ghế</t>
        </is>
      </c>
      <c r="H29" s="12" t="inlineStr">
        <is>
          <t>-</t>
        </is>
      </c>
      <c r="I29" s="12" t="inlineStr">
        <is>
          <t>1-2. Khối xem trước cập nhật ngay theo từng ký tự, đúng như thẻ sẽ hiển thị ngoài chợ chuyến</t>
        </is>
      </c>
      <c r="J29" s="14" t="inlineStr"/>
      <c r="K29" s="13" t="inlineStr">
        <is>
          <t>Chưa test</t>
        </is>
      </c>
      <c r="L29" s="13" t="inlineStr"/>
      <c r="M29" s="13" t="inlineStr"/>
      <c r="N29" s="13" t="inlineStr"/>
      <c r="O29" s="19" t="n"/>
      <c r="P29" s="13" t="inlineStr"/>
    </row>
    <row r="30" ht="86" customHeight="1">
      <c r="A30" s="16" t="inlineStr">
        <is>
          <t>CXD-08</t>
        </is>
      </c>
      <c r="B30" s="12" t="inlineStr">
        <is>
          <t>Chủ xe đăng chuyến</t>
        </is>
      </c>
      <c r="C30" s="12" t="inlineStr">
        <is>
          <t>Soạn chuyến bằng câu tiếng Việt</t>
        </is>
      </c>
      <c r="D30" s="17" t="inlineStr">
        <is>
          <t>Chủ xe</t>
        </is>
      </c>
      <c r="E30" s="18" t="inlineStr">
        <is>
          <t>Cao</t>
        </is>
      </c>
      <c r="F30" s="12" t="inlineStr">
        <is>
          <t>Đang ở khu công cụ thông minh dưới Hero.</t>
        </is>
      </c>
      <c r="G30" s="12" t="inlineStr">
        <is>
          <t>1. Gõ nguyên 1 câu tự nhiên vào ô soạn chuyến thông minh
2. Bấm áp dụng / tạo chuyến
3. Đối chiếu các ô đã được điền sẵn</t>
        </is>
      </c>
      <c r="H30" s="12" t="inlineStr">
        <is>
          <t>'mai 6h sáng đi Lộc Ninh xuống Sài Gòn còn 3 chỗ 180k'</t>
        </is>
      </c>
      <c r="I30" s="12" t="inlineStr">
        <is>
          <t>1-2. Xử lý ngay tại chỗ dưới 1 giây, không phải chờ máy chủ
3. Tự điền đúng: điểm đón Lộc Ninh, điểm đến Sài Gòn, ngày mai, khung giờ sáng, 3 ghế, giá 180.000đ</t>
        </is>
      </c>
      <c r="J30" s="14" t="inlineStr"/>
      <c r="K30" s="13" t="inlineStr">
        <is>
          <t>Chưa test</t>
        </is>
      </c>
      <c r="L30" s="13" t="inlineStr"/>
      <c r="M30" s="13" t="inlineStr"/>
      <c r="N30" s="13" t="inlineStr"/>
      <c r="O30" s="19" t="n"/>
      <c r="P30" s="13" t="inlineStr"/>
    </row>
    <row r="31" ht="86" customHeight="1">
      <c r="A31" s="16" t="inlineStr">
        <is>
          <t>CXD-09</t>
        </is>
      </c>
      <c r="B31" s="12" t="inlineStr">
        <is>
          <t>Chủ xe đăng chuyến</t>
        </is>
      </c>
      <c r="C31" s="12" t="inlineStr">
        <is>
          <t>Tải ảnh xe</t>
        </is>
      </c>
      <c r="D31" s="17" t="inlineStr">
        <is>
          <t>Chủ xe</t>
        </is>
      </c>
      <c r="E31" s="18" t="inlineStr">
        <is>
          <t>Cao</t>
        </is>
      </c>
      <c r="F31" s="12" t="inlineStr">
        <is>
          <t>Có sẵn 3-5 ảnh xe thật trên máy, trong đó có ảnh thấy rõ biển số.</t>
        </is>
      </c>
      <c r="G31" s="12" t="inlineStr">
        <is>
          <t>1. Trong form, mở phần ảnh xe
2. Chọn 3 ảnh cùng lúc
3. Thử chọn thêm cho vượt quá 5 ảnh
4. Xoá bớt còn 3 ảnh</t>
        </is>
      </c>
      <c r="H31" s="12" t="inlineStr">
        <is>
          <t>3-5 ảnh JPG/PNG</t>
        </is>
      </c>
      <c r="I31" s="12" t="inlineStr">
        <is>
          <t>1-2. Ảnh hiển thị dạng thumbnail, thứ tự đúng
3. Bị chặn khi vượt quá số ảnh cho phép, có thông báo rõ
4. Xoá được từng ảnh, các ảnh còn lại giữ nguyên</t>
        </is>
      </c>
      <c r="J31" s="14" t="inlineStr"/>
      <c r="K31" s="13" t="inlineStr">
        <is>
          <t>Chưa test</t>
        </is>
      </c>
      <c r="L31" s="13" t="inlineStr"/>
      <c r="M31" s="13" t="inlineStr"/>
      <c r="N31" s="13" t="inlineStr"/>
      <c r="O31" s="19" t="n"/>
      <c r="P31" s="13" t="inlineStr"/>
    </row>
    <row r="32" ht="86" customHeight="1">
      <c r="A32" s="16" t="inlineStr">
        <is>
          <t>CXD-10</t>
        </is>
      </c>
      <c r="B32" s="12" t="inlineStr">
        <is>
          <t>Chủ xe đăng chuyến</t>
        </is>
      </c>
      <c r="C32" s="12" t="inlineStr">
        <is>
          <t>Tự động che biển số xe</t>
        </is>
      </c>
      <c r="D32" s="17" t="inlineStr">
        <is>
          <t>Chủ xe</t>
        </is>
      </c>
      <c r="E32" s="18" t="inlineStr">
        <is>
          <t>Cao</t>
        </is>
      </c>
      <c r="F32" s="12" t="inlineStr">
        <is>
          <t>Có ảnh chụp rõ biển số xe.</t>
        </is>
      </c>
      <c r="G32" s="12" t="inlineStr">
        <is>
          <t>1. Chọn ảnh góc trước có biển số
2. Quan sát ảnh ngay sau khi chọn
3. Lưu bài đăng, mở lại ảnh xe từ ngoài chợ chuyến và phóng to hết cỡ</t>
        </is>
      </c>
      <c r="H32" s="12" t="inlineStr">
        <is>
          <t>-</t>
        </is>
      </c>
      <c r="I32" s="12" t="inlineStr">
        <is>
          <t>1-2. Ngay khi chọn xong, biển số đã bị làm nhoè vỡ hạt kèm thanh che ghi 'ĐÃ CHE BIỂN', không phải bấm thêm nút nào
3. Phóng to cách mấy cũng không đọc được biển số thật</t>
        </is>
      </c>
      <c r="J32" s="14" t="inlineStr"/>
      <c r="K32" s="13" t="inlineStr">
        <is>
          <t>Chưa test</t>
        </is>
      </c>
      <c r="L32" s="13" t="inlineStr"/>
      <c r="M32" s="13" t="inlineStr"/>
      <c r="N32" s="13" t="inlineStr"/>
      <c r="O32" s="19" t="n"/>
      <c r="P32" s="13" t="inlineStr"/>
    </row>
    <row r="33" ht="86" customHeight="1">
      <c r="A33" s="16" t="inlineStr">
        <is>
          <t>CXD-11</t>
        </is>
      </c>
      <c r="B33" s="12" t="inlineStr">
        <is>
          <t>Chủ xe đăng chuyến</t>
        </is>
      </c>
      <c r="C33" s="12" t="inlineStr">
        <is>
          <t>Chỉnh vị trí thanh che biển</t>
        </is>
      </c>
      <c r="D33" s="17" t="inlineStr">
        <is>
          <t>Chủ xe</t>
        </is>
      </c>
      <c r="E33" s="17" t="inlineStr">
        <is>
          <t>TB</t>
        </is>
      </c>
      <c r="F33" s="12" t="inlineStr">
        <is>
          <t>Ảnh có biển số nằm lệch, thanh che chưa đúng chỗ.</t>
        </is>
      </c>
      <c r="G33" s="12" t="inlineStr">
        <is>
          <t>1. Mở cửa sổ chỉnh che biển số
2. Kéo thanh che tới đúng vị trí biển số, chỉnh to nhỏ
3. Kéo thanh che ra sát mép ảnh
4. Lưu và xem lại ảnh</t>
        </is>
      </c>
      <c r="H33" s="12" t="inlineStr">
        <is>
          <t>-</t>
        </is>
      </c>
      <c r="I33" s="12" t="inlineStr">
        <is>
          <t>1-2. Kéo mượt, thanh che bám theo tay
3. Thanh che không bị lọt ra ngoài khung ảnh
4. Ảnh lưu đúng vị trí vừa chỉnh</t>
        </is>
      </c>
      <c r="J33" s="14" t="inlineStr"/>
      <c r="K33" s="13" t="inlineStr">
        <is>
          <t>Chưa test</t>
        </is>
      </c>
      <c r="L33" s="13" t="inlineStr"/>
      <c r="M33" s="13" t="inlineStr"/>
      <c r="N33" s="13" t="inlineStr"/>
      <c r="O33" s="19" t="n"/>
      <c r="P33" s="13" t="inlineStr"/>
    </row>
    <row r="34" ht="86" customHeight="1">
      <c r="A34" s="16" t="inlineStr">
        <is>
          <t>CXD-12</t>
        </is>
      </c>
      <c r="B34" s="12" t="inlineStr">
        <is>
          <t>Chủ xe đăng chuyến</t>
        </is>
      </c>
      <c r="C34" s="12" t="inlineStr">
        <is>
          <t>Đăng bài 'Tôi cần tìm xe'</t>
        </is>
      </c>
      <c r="D34" s="17" t="inlineStr">
        <is>
          <t>Người tìm xe</t>
        </is>
      </c>
      <c r="E34" s="18" t="inlineStr">
        <is>
          <t>Cao</t>
        </is>
      </c>
      <c r="F34" s="12" t="inlineStr">
        <is>
          <t>Đã đăng nhập.</t>
        </is>
      </c>
      <c r="G34" s="12" t="inlineStr">
        <is>
          <t>1. Bấm 'Đăng chuyến' → chọn 'Tôi cần tìm xe'
2. Điền tuyến, ngày giờ, 'Số ghế cần', 'Mức mong muốn (đ/ghế)'
3. Đăng bài
4. Ra tab 'Khám phá' tìm bài vừa đăng</t>
        </is>
      </c>
      <c r="H34" s="12" t="inlineStr">
        <is>
          <t>2 ghế · 150.000đ</t>
        </is>
      </c>
      <c r="I34" s="12" t="inlineStr">
        <is>
          <t>1-3. Form đổi đúng nhãn dành cho người tìm xe, đăng thành công
4. Thẻ hiển thị đúng dạng người tìm xe: 'Cần 2 ghế', trạng thái 'Đang tìm xe', bí danh KX-xxx, nút bên chủ xe thấy là 'Đón đi cùng'</t>
        </is>
      </c>
      <c r="J34" s="14" t="inlineStr"/>
      <c r="K34" s="13" t="inlineStr">
        <is>
          <t>Chưa test</t>
        </is>
      </c>
      <c r="L34" s="13" t="inlineStr"/>
      <c r="M34" s="13" t="inlineStr"/>
      <c r="N34" s="13" t="inlineStr"/>
      <c r="O34" s="19" t="n"/>
      <c r="P34" s="13" t="inlineStr"/>
    </row>
    <row r="35" ht="86" customHeight="1">
      <c r="A35" s="16" t="inlineStr">
        <is>
          <t>CXD-13</t>
        </is>
      </c>
      <c r="B35" s="12" t="inlineStr">
        <is>
          <t>Chủ xe đăng chuyến</t>
        </is>
      </c>
      <c r="C35" s="12" t="inlineStr">
        <is>
          <t>Thẻ chia sẻ sau khi đăng</t>
        </is>
      </c>
      <c r="D35" s="17" t="inlineStr">
        <is>
          <t>Chủ xe</t>
        </is>
      </c>
      <c r="E35" s="18" t="inlineStr">
        <is>
          <t>Cao</t>
        </is>
      </c>
      <c r="F35" s="12" t="inlineStr">
        <is>
          <t>Vừa đăng xong 1 chuyến.</t>
        </is>
      </c>
      <c r="G35" s="12" t="inlineStr">
        <is>
          <t>1. Ở cửa sổ 'Thẻ thông tin chuyến đi', bấm 'Sao chép bài đăng'
2. Bấm 'Tải thẻ thông tin 4:5'
3. Bấm 'Tải Story'
4. Dán nội dung đã chép vào 1 ô nhập bất kỳ để kiểm tra</t>
        </is>
      </c>
      <c r="H35" s="12" t="inlineStr">
        <is>
          <t>-</t>
        </is>
      </c>
      <c r="I35" s="12" t="inlineStr">
        <is>
          <t>1. Báo 'Đã sao chép'
2-3. Tải về được 2 ảnh, ảnh dọc 9:16 dùng cho Story; ảnh đẹp, chữ sắc nét, không lộ biển số và số điện thoại thật
4. Nội dung dán ra đầy đủ tuyến, giờ, giá và link rút gọn</t>
        </is>
      </c>
      <c r="J35" s="14" t="inlineStr"/>
      <c r="K35" s="13" t="inlineStr">
        <is>
          <t>Chưa test</t>
        </is>
      </c>
      <c r="L35" s="13" t="inlineStr"/>
      <c r="M35" s="13" t="inlineStr"/>
      <c r="N35" s="13" t="inlineStr"/>
      <c r="O35" s="19" t="n"/>
      <c r="P35" s="13" t="inlineStr"/>
    </row>
    <row r="36" ht="86" customHeight="1">
      <c r="A36" s="16" t="inlineStr">
        <is>
          <t>CXD-14</t>
        </is>
      </c>
      <c r="B36" s="12" t="inlineStr">
        <is>
          <t>Chủ xe đăng chuyến</t>
        </is>
      </c>
      <c r="C36" s="12" t="inlineStr">
        <is>
          <t>Đăng liên tiếp nhiều chuyến</t>
        </is>
      </c>
      <c r="D36" s="17" t="inlineStr">
        <is>
          <t>Chủ xe</t>
        </is>
      </c>
      <c r="E36" s="17" t="inlineStr">
        <is>
          <t>TB</t>
        </is>
      </c>
      <c r="F36" s="12" t="inlineStr">
        <is>
          <t>Đã đăng nhập.</t>
        </is>
      </c>
      <c r="G36" s="12" t="inlineStr">
        <is>
          <t>1. Đăng liên tiếp 3 chuyến khác tuyến trong vòng 2 phút
2. Xem tab 'Chuyến của tôi'</t>
        </is>
      </c>
      <c r="H36" s="12" t="inlineStr">
        <is>
          <t>-</t>
        </is>
      </c>
      <c r="I36" s="12" t="inlineStr">
        <is>
          <t>1. Cả 3 lần đều đăng được ở môi trường test (production sẽ chặn khi đăng quá nhanh và báo đợi ít phút)
2. Đủ 3 chuyến trong danh sách, không trùng lặp, không mất chuyến nào</t>
        </is>
      </c>
      <c r="J36" s="14" t="inlineStr"/>
      <c r="K36" s="13" t="inlineStr">
        <is>
          <t>Chưa test</t>
        </is>
      </c>
      <c r="L36" s="13" t="inlineStr"/>
      <c r="M36" s="13" t="inlineStr"/>
      <c r="N36" s="13" t="inlineStr"/>
      <c r="O36" s="19" t="n"/>
      <c r="P36" s="13" t="inlineStr"/>
    </row>
    <row r="37" ht="86" customHeight="1">
      <c r="A37" s="16" t="inlineStr">
        <is>
          <t>CCT-01</t>
        </is>
      </c>
      <c r="B37" s="12" t="inlineStr">
        <is>
          <t>Chuyến của tôi</t>
        </is>
      </c>
      <c r="C37" s="12" t="inlineStr">
        <is>
          <t>Xem danh sách chuyến đã đăng</t>
        </is>
      </c>
      <c r="D37" s="17" t="inlineStr">
        <is>
          <t>Chủ xe</t>
        </is>
      </c>
      <c r="E37" s="18" t="inlineStr">
        <is>
          <t>Cao</t>
        </is>
      </c>
      <c r="F37" s="12" t="inlineStr">
        <is>
          <t>Đã đăng ít nhất 2 chuyến.</t>
        </is>
      </c>
      <c r="G37" s="12" t="inlineStr">
        <is>
          <t>1. Bấm 'Chuyến của tôi' trên header (hoặc 'Tôi đăng' ở thanh dưới)
2. Xem 2 thẻ đầu
3. Chuyển qua lại 2 mục 'Đang tìm khách' và 'Lịch sử chuyến'</t>
        </is>
      </c>
      <c r="H37" s="12" t="inlineStr">
        <is>
          <t>-</t>
        </is>
      </c>
      <c r="I37" s="12" t="inlineStr">
        <is>
          <t>1-2. Hiện đúng và đủ chuyến của chính mình, mỗi thẻ có nhãn 'Còn chỗ' hoặc 'Đã đủ'
3. Chuyển mục mượt, chuyến hết hạn nằm ở 'Lịch sử chuyến'</t>
        </is>
      </c>
      <c r="J37" s="14" t="inlineStr"/>
      <c r="K37" s="13" t="inlineStr">
        <is>
          <t>Chưa test</t>
        </is>
      </c>
      <c r="L37" s="13" t="inlineStr"/>
      <c r="M37" s="13" t="inlineStr"/>
      <c r="N37" s="13" t="inlineStr"/>
      <c r="O37" s="19" t="n"/>
      <c r="P37" s="13" t="inlineStr"/>
    </row>
    <row r="38" ht="86" customHeight="1">
      <c r="A38" s="16" t="inlineStr">
        <is>
          <t>CCT-02</t>
        </is>
      </c>
      <c r="B38" s="12" t="inlineStr">
        <is>
          <t>Chuyến của tôi</t>
        </is>
      </c>
      <c r="C38" s="12" t="inlineStr">
        <is>
          <t>Chỉnh sửa chuyến</t>
        </is>
      </c>
      <c r="D38" s="17" t="inlineStr">
        <is>
          <t>Chủ xe</t>
        </is>
      </c>
      <c r="E38" s="18" t="inlineStr">
        <is>
          <t>Cao</t>
        </is>
      </c>
      <c r="F38" s="12" t="inlineStr">
        <is>
          <t>Có 1 chuyến đang mở.</t>
        </is>
      </c>
      <c r="G38" s="12" t="inlineStr">
        <is>
          <t>1. Bấm 'Chỉnh sửa' trên thẻ chuyến
2. Sửa giờ chạy, giá và số ghế
3. Lưu
4. Ra 'Khám phá' xem lại chuyến đó</t>
        </is>
      </c>
      <c r="H38" s="12" t="inlineStr">
        <is>
          <t>Đổi giá 180.000 → 200.000</t>
        </is>
      </c>
      <c r="I38" s="12" t="inlineStr">
        <is>
          <t>1-2. Cửa sổ chỉnh sửa mở với dữ liệu cũ đã điền sẵn đúng
3. Lưu thành công, có thông báo
4. Ngoài chợ chuyến hiện giá mới ngay, không phải tải lại trang</t>
        </is>
      </c>
      <c r="J38" s="14" t="inlineStr"/>
      <c r="K38" s="13" t="inlineStr">
        <is>
          <t>Chưa test</t>
        </is>
      </c>
      <c r="L38" s="13" t="inlineStr"/>
      <c r="M38" s="13" t="inlineStr"/>
      <c r="N38" s="13" t="inlineStr"/>
      <c r="O38" s="19" t="n"/>
      <c r="P38" s="13" t="inlineStr"/>
    </row>
    <row r="39" ht="86" customHeight="1">
      <c r="A39" s="16" t="inlineStr">
        <is>
          <t>CCT-03</t>
        </is>
      </c>
      <c r="B39" s="12" t="inlineStr">
        <is>
          <t>Chuyến của tôi</t>
        </is>
      </c>
      <c r="C39" s="12" t="inlineStr">
        <is>
          <t>Sửa thông tin xe và đồng bộ Garage</t>
        </is>
      </c>
      <c r="D39" s="17" t="inlineStr">
        <is>
          <t>Chủ xe</t>
        </is>
      </c>
      <c r="E39" s="18" t="inlineStr">
        <is>
          <t>Cao</t>
        </is>
      </c>
      <c r="F39" s="12" t="inlineStr">
        <is>
          <t>Có 1 chuyến đang mở và đã khai báo xe trong Garage.</t>
        </is>
      </c>
      <c r="G39" s="12" t="inlineStr">
        <is>
          <t>1. Mở 'Chỉnh sửa' 1 chuyến, đổi dòng xe và ảnh xe
2. Lưu
3. Mở avatar → 'Hồ sơ &amp; Garage của tôi'
4. Quay lại xem thẻ chuyến</t>
        </is>
      </c>
      <c r="H39" s="12" t="inlineStr">
        <is>
          <t>Đổi Mazda 2 → Xpander 7 chỗ</t>
        </is>
      </c>
      <c r="I39" s="12" t="inlineStr">
        <is>
          <t>1-2. Đổi được, ảnh xe không bị vỡ hay mất
3. Garage cập nhật theo xe mới
4. Thẻ chuyến hiện đúng 'Xpander · 7 chỗ', số ghế được chuẩn hoá theo xe 7 chỗ</t>
        </is>
      </c>
      <c r="J39" s="14" t="inlineStr"/>
      <c r="K39" s="13" t="inlineStr">
        <is>
          <t>Chưa test</t>
        </is>
      </c>
      <c r="L39" s="13" t="inlineStr"/>
      <c r="M39" s="13" t="inlineStr"/>
      <c r="N39" s="13" t="inlineStr"/>
      <c r="O39" s="19" t="n"/>
      <c r="P39" s="13" t="inlineStr"/>
    </row>
    <row r="40" ht="86" customHeight="1">
      <c r="A40" s="16" t="inlineStr">
        <is>
          <t>CCT-04</t>
        </is>
      </c>
      <c r="B40" s="12" t="inlineStr">
        <is>
          <t>Chuyến của tôi</t>
        </is>
      </c>
      <c r="C40" s="12" t="inlineStr">
        <is>
          <t>Báo đủ chỗ / Đã có xe</t>
        </is>
      </c>
      <c r="D40" s="17" t="inlineStr">
        <is>
          <t>Chủ xe &amp; Người tìm xe</t>
        </is>
      </c>
      <c r="E40" s="18" t="inlineStr">
        <is>
          <t>Cao</t>
        </is>
      </c>
      <c r="F40" s="12" t="inlineStr">
        <is>
          <t>Có 1 chuyến đang mở.</t>
        </is>
      </c>
      <c r="G40" s="12" t="inlineStr">
        <is>
          <t>1. Bấm 'Báo đủ chỗ' (với bài chủ xe) hoặc 'Đã có xe' (với bài tìm xe)
2. Ra 'Khám phá' tìm chuyến đó</t>
        </is>
      </c>
      <c r="H40" s="12" t="inlineStr">
        <is>
          <t>-</t>
        </is>
      </c>
      <c r="I40" s="12" t="inlineStr">
        <is>
          <t>1. Thẻ đổi nhãn sang 'Đã đủ' / 'Đã có xe' ngay
2. Ngoài chợ chuyến không còn mời ghép nữa, trạng thái hiển thị đồng nhất ở mọi màn hình</t>
        </is>
      </c>
      <c r="J40" s="14" t="inlineStr"/>
      <c r="K40" s="13" t="inlineStr">
        <is>
          <t>Chưa test</t>
        </is>
      </c>
      <c r="L40" s="13" t="inlineStr"/>
      <c r="M40" s="13" t="inlineStr"/>
      <c r="N40" s="13" t="inlineStr"/>
      <c r="O40" s="19" t="n"/>
      <c r="P40" s="13" t="inlineStr"/>
    </row>
    <row r="41" ht="86" customHeight="1">
      <c r="A41" s="16" t="inlineStr">
        <is>
          <t>CCT-05</t>
        </is>
      </c>
      <c r="B41" s="12" t="inlineStr">
        <is>
          <t>Chuyến của tôi</t>
        </is>
      </c>
      <c r="C41" s="12" t="inlineStr">
        <is>
          <t>Tái đăng 1 chạm</t>
        </is>
      </c>
      <c r="D41" s="17" t="inlineStr">
        <is>
          <t>Chủ xe</t>
        </is>
      </c>
      <c r="E41" s="18" t="inlineStr">
        <is>
          <t>Cao</t>
        </is>
      </c>
      <c r="F41" s="12" t="inlineStr">
        <is>
          <t>Có 1 chuyến đã qua giờ chạy nằm ở 'Lịch sử chuyến'.</t>
        </is>
      </c>
      <c r="G41" s="12" t="inlineStr">
        <is>
          <t>1. Bấm nút tái đăng trên chuyến cũ
2. Xem tab 'Đang tìm khách' và ngoài 'Khám phá'</t>
        </is>
      </c>
      <c r="H41" s="12" t="inlineStr">
        <is>
          <t>-</t>
        </is>
      </c>
      <c r="I41" s="12" t="inlineStr">
        <is>
          <t>1. Trong khoảng 2 giây tạo xong chuyến mới sao chép y nguyên nội dung cũ với ngày mới
2. Chuyến mới hiện ở cả 2 nơi, chuyến cũ vẫn nằm nguyên trong lịch sử</t>
        </is>
      </c>
      <c r="J41" s="14" t="inlineStr"/>
      <c r="K41" s="13" t="inlineStr">
        <is>
          <t>Chưa test</t>
        </is>
      </c>
      <c r="L41" s="13" t="inlineStr"/>
      <c r="M41" s="13" t="inlineStr"/>
      <c r="N41" s="13" t="inlineStr"/>
      <c r="O41" s="19" t="n"/>
      <c r="P41" s="13" t="inlineStr"/>
    </row>
    <row r="42" ht="86" customHeight="1">
      <c r="A42" s="16" t="inlineStr">
        <is>
          <t>CCT-06</t>
        </is>
      </c>
      <c r="B42" s="12" t="inlineStr">
        <is>
          <t>Chuyến của tôi</t>
        </is>
      </c>
      <c r="C42" s="12" t="inlineStr">
        <is>
          <t>Xoá chuyến</t>
        </is>
      </c>
      <c r="D42" s="17" t="inlineStr">
        <is>
          <t>Chủ xe</t>
        </is>
      </c>
      <c r="E42" s="18" t="inlineStr">
        <is>
          <t>Cao</t>
        </is>
      </c>
      <c r="F42" s="12" t="inlineStr">
        <is>
          <t>Có 1 chuyến test cần xoá.</t>
        </is>
      </c>
      <c r="G42" s="12" t="inlineStr">
        <is>
          <t>1. Bấm nút xoá trên thẻ chuyến
2. Đọc cửa sổ 'Xác nhận xoá chuyến đi'
3. Bấm huỷ, kiểm tra chuyến còn không
4. Làm lại và xác nhận xoá</t>
        </is>
      </c>
      <c r="H42" s="12" t="inlineStr">
        <is>
          <t>-</t>
        </is>
      </c>
      <c r="I42" s="12" t="inlineStr">
        <is>
          <t>1-2. Có bước xác nhận, không xoá ngay lập tức
3. Bấm huỷ thì chuyến vẫn còn nguyên
4. Xác nhận thì chuyến biến mất khỏi cả 'Chuyến của tôi' và 'Khám phá'</t>
        </is>
      </c>
      <c r="J42" s="14" t="inlineStr"/>
      <c r="K42" s="13" t="inlineStr">
        <is>
          <t>Chưa test</t>
        </is>
      </c>
      <c r="L42" s="13" t="inlineStr"/>
      <c r="M42" s="13" t="inlineStr"/>
      <c r="N42" s="13" t="inlineStr"/>
      <c r="O42" s="19" t="n"/>
      <c r="P42" s="13" t="inlineStr"/>
    </row>
    <row r="43" ht="86" customHeight="1">
      <c r="A43" s="16" t="inlineStr">
        <is>
          <t>CCT-07</t>
        </is>
      </c>
      <c r="B43" s="12" t="inlineStr">
        <is>
          <t>Chuyến của tôi</t>
        </is>
      </c>
      <c r="C43" s="12" t="inlineStr">
        <is>
          <t>Không sửa được bài của người khác</t>
        </is>
      </c>
      <c r="D43" s="17" t="inlineStr">
        <is>
          <t>Chủ xe B</t>
        </is>
      </c>
      <c r="E43" s="18" t="inlineStr">
        <is>
          <t>Cao</t>
        </is>
      </c>
      <c r="F43" s="12" t="inlineStr">
        <is>
          <t>Tài khoản B đã đăng nhập; biết mã 1 chuyến của tài khoản A.</t>
        </is>
      </c>
      <c r="G43" s="12" t="inlineStr">
        <is>
          <t>1. Ở tab 'Khám phá', mở chuyến của tài khoản A
2. Tìm xem có nút 'Chỉnh sửa' hoặc xoá không
3. Thử sửa địa chỉ trên thanh URL để vào thẳng màn quản lý chuyến của A</t>
        </is>
      </c>
      <c r="H43" s="12" t="inlineStr">
        <is>
          <t>-</t>
        </is>
      </c>
      <c r="I43" s="12" t="inlineStr">
        <is>
          <t>1-2. Không hiện nút chỉnh sửa hay xoá trên chuyến của người khác
3. Truy cập trực tiếp bằng URL cũng bị từ chối, báo không có quyền, không sửa được gì</t>
        </is>
      </c>
      <c r="J43" s="14" t="inlineStr"/>
      <c r="K43" s="13" t="inlineStr">
        <is>
          <t>Chưa test</t>
        </is>
      </c>
      <c r="L43" s="13" t="inlineStr"/>
      <c r="M43" s="13" t="inlineStr"/>
      <c r="N43" s="13" t="inlineStr"/>
      <c r="O43" s="19" t="n"/>
      <c r="P43" s="13" t="inlineStr"/>
    </row>
    <row r="44" ht="86" customHeight="1">
      <c r="A44" s="16" t="inlineStr">
        <is>
          <t>CCT-08</t>
        </is>
      </c>
      <c r="B44" s="12" t="inlineStr">
        <is>
          <t>Chuyến của tôi</t>
        </is>
      </c>
      <c r="C44" s="12" t="inlineStr">
        <is>
          <t>Chuyến tự hết hạn</t>
        </is>
      </c>
      <c r="D44" s="17" t="inlineStr">
        <is>
          <t>Chủ xe</t>
        </is>
      </c>
      <c r="E44" s="18" t="inlineStr">
        <is>
          <t>Cao</t>
        </is>
      </c>
      <c r="F44" s="12" t="inlineStr">
        <is>
          <t>Có 1 chuyến đặt giờ chạy đã qua.</t>
        </is>
      </c>
      <c r="G44" s="12" t="inlineStr">
        <is>
          <t>1. Đợi qua mốc giờ chạy
2. Tải lại trang, xem 'Khám phá'
3. Xem 'Chuyến của tôi'</t>
        </is>
      </c>
      <c r="H44" s="12" t="inlineStr">
        <is>
          <t>-</t>
        </is>
      </c>
      <c r="I44" s="12" t="inlineStr">
        <is>
          <t>1-2. Chuyến không còn ngoài chợ chuyến
3. Trong 'Chuyến của tôi' chuyển sang 'Lịch sử chuyến' với nhãn 'Đã qua giờ chạy'</t>
        </is>
      </c>
      <c r="J44" s="14" t="inlineStr"/>
      <c r="K44" s="13" t="inlineStr">
        <is>
          <t>Chưa test</t>
        </is>
      </c>
      <c r="L44" s="13" t="inlineStr"/>
      <c r="M44" s="13" t="inlineStr"/>
      <c r="N44" s="13" t="inlineStr"/>
      <c r="O44" s="19" t="n"/>
      <c r="P44" s="13" t="inlineStr"/>
    </row>
    <row r="45" ht="86" customHeight="1">
      <c r="A45" s="16" t="inlineStr">
        <is>
          <t>CCT-09</t>
        </is>
      </c>
      <c r="B45" s="12" t="inlineStr">
        <is>
          <t>Chuyến của tôi</t>
        </is>
      </c>
      <c r="C45" s="12" t="inlineStr">
        <is>
          <t>Xem lại thẻ vé chuyến cũ</t>
        </is>
      </c>
      <c r="D45" s="17" t="inlineStr">
        <is>
          <t>Chủ xe</t>
        </is>
      </c>
      <c r="E45" s="17" t="inlineStr">
        <is>
          <t>TB</t>
        </is>
      </c>
      <c r="F45" s="12" t="inlineStr">
        <is>
          <t>Có chuyến đang mở.</t>
        </is>
      </c>
      <c r="G45" s="12" t="inlineStr">
        <is>
          <t>1. Bấm vào thẻ chuyến để xem chi tiết thẻ vé
2. Bấm 'Nhắn Zalo Chủ xe' / nút chia sẻ</t>
        </is>
      </c>
      <c r="H45" s="12" t="inlineStr">
        <is>
          <t>-</t>
        </is>
      </c>
      <c r="I45" s="12" t="inlineStr">
        <is>
          <t>1. Mở đúng thẻ vé của chuyến đó, thông tin khớp
2. Mở đúng ứng dụng Zalo hoặc bảng chia sẻ, nội dung kèm theo đúng chuyến</t>
        </is>
      </c>
      <c r="J45" s="14" t="inlineStr"/>
      <c r="K45" s="13" t="inlineStr">
        <is>
          <t>Chưa test</t>
        </is>
      </c>
      <c r="L45" s="13" t="inlineStr"/>
      <c r="M45" s="13" t="inlineStr"/>
      <c r="N45" s="13" t="inlineStr"/>
      <c r="O45" s="19" t="n"/>
      <c r="P45" s="13" t="inlineStr"/>
    </row>
    <row r="46" ht="86" customHeight="1">
      <c r="A46" s="16" t="inlineStr">
        <is>
          <t>CCT-10</t>
        </is>
      </c>
      <c r="B46" s="12" t="inlineStr">
        <is>
          <t>Chuyến của tôi</t>
        </is>
      </c>
      <c r="C46" s="12" t="inlineStr">
        <is>
          <t>Xem ảnh xe đã tải</t>
        </is>
      </c>
      <c r="D46" s="17" t="inlineStr">
        <is>
          <t>Chủ xe</t>
        </is>
      </c>
      <c r="E46" s="17" t="inlineStr">
        <is>
          <t>TB</t>
        </is>
      </c>
      <c r="F46" s="12" t="inlineStr">
        <is>
          <t>Chuyến có ảnh xe.</t>
        </is>
      </c>
      <c r="G46" s="12" t="inlineStr">
        <is>
          <t>1. Bấm nút xem ảnh xe trên thẻ chuyến
2. Lướt qua từng ảnh</t>
        </is>
      </c>
      <c r="H46" s="12" t="inlineStr">
        <is>
          <t>-</t>
        </is>
      </c>
      <c r="I46" s="12" t="inlineStr">
        <is>
          <t>1-2. Xem được tất cả góc ảnh đã tải, ảnh rõ, biển số vẫn bị che ở mọi tấm</t>
        </is>
      </c>
      <c r="J46" s="14" t="inlineStr"/>
      <c r="K46" s="13" t="inlineStr">
        <is>
          <t>Chưa test</t>
        </is>
      </c>
      <c r="L46" s="13" t="inlineStr"/>
      <c r="M46" s="13" t="inlineStr"/>
      <c r="N46" s="13" t="inlineStr"/>
      <c r="O46" s="19" t="n"/>
      <c r="P46" s="13" t="inlineStr"/>
    </row>
    <row r="47" ht="86" customHeight="1">
      <c r="A47" s="16" t="inlineStr">
        <is>
          <t>GC-01</t>
        </is>
      </c>
      <c r="B47" s="12" t="inlineStr">
        <is>
          <t>Ghép chuyến</t>
        </is>
      </c>
      <c r="C47" s="12" t="inlineStr">
        <is>
          <t>Gửi yêu cầu ghép chuyến</t>
        </is>
      </c>
      <c r="D47" s="17" t="inlineStr">
        <is>
          <t>Người đi cùng</t>
        </is>
      </c>
      <c r="E47" s="18" t="inlineStr">
        <is>
          <t>Cao</t>
        </is>
      </c>
      <c r="F47" s="12" t="inlineStr">
        <is>
          <t>Đăng nhập tài khoản C. Tài khoản A đã đăng 1 chuyến còn chỗ.</t>
        </is>
      </c>
      <c r="G47" s="12" t="inlineStr">
        <is>
          <t>1. Ở 'Khám phá', mở chuyến của A, bấm 'Ghép chuyến'
2. Chọn 'Số người cùng đi' = 1
3. Chọn 'Kết nối trực tiếp'
4. Nhập lời nhắn cho chủ xe
5. Bấm 'Xác nhận ghép &amp; nhắn Zalo chủ xe'</t>
        </is>
      </c>
      <c r="H47" s="12" t="inlineStr">
        <is>
          <t>1 ghế · lời nhắn 'Đón em ở ngã ba Lộc Ninh nhé'</t>
        </is>
      </c>
      <c r="I47" s="12" t="inlineStr">
        <is>
          <t>1-3. Cửa sổ ghép hiện tổng chi phí chia sẻ và dòng 'Phí qua sàn CarMate 0đ'
4-5. Gửi thành công, sinh 'Mã kết nối', chuyến xuất hiện ở tab 'Chuyến đã hẹn' với đồng hồ giữ chỗ 15 phút</t>
        </is>
      </c>
      <c r="J47" s="14" t="inlineStr"/>
      <c r="K47" s="13" t="inlineStr">
        <is>
          <t>Chưa test</t>
        </is>
      </c>
      <c r="L47" s="13" t="inlineStr"/>
      <c r="M47" s="13" t="inlineStr"/>
      <c r="N47" s="13" t="inlineStr"/>
      <c r="O47" s="19" t="n"/>
      <c r="P47" s="13" t="inlineStr"/>
    </row>
    <row r="48" ht="86" customHeight="1">
      <c r="A48" s="16" t="inlineStr">
        <is>
          <t>GC-02</t>
        </is>
      </c>
      <c r="B48" s="12" t="inlineStr">
        <is>
          <t>Ghép chuyến</t>
        </is>
      </c>
      <c r="C48" s="12" t="inlineStr">
        <is>
          <t>Không tự ghép chuyến của chính mình</t>
        </is>
      </c>
      <c r="D48" s="17" t="inlineStr">
        <is>
          <t>Chủ xe</t>
        </is>
      </c>
      <c r="E48" s="18" t="inlineStr">
        <is>
          <t>Cao</t>
        </is>
      </c>
      <c r="F48" s="12" t="inlineStr">
        <is>
          <t>Đăng nhập tài khoản A, A đã đăng 1 chuyến.</t>
        </is>
      </c>
      <c r="G48" s="12" t="inlineStr">
        <is>
          <t>1. Ở 'Khám phá', tìm đúng bài đăng của chính mình
2. Bấm vào thẻ / nút ghép chuyến</t>
        </is>
      </c>
      <c r="H48" s="12" t="inlineStr">
        <is>
          <t>-</t>
        </is>
      </c>
      <c r="I48" s="12" t="inlineStr">
        <is>
          <t>1-2. Hệ thống không cho gửi yêu cầu ghép cho chính mình; thay vào đó mở cửa sổ quản lý chuyến hoặc báo rõ không thể ghép bài của mình</t>
        </is>
      </c>
      <c r="J48" s="14" t="inlineStr"/>
      <c r="K48" s="13" t="inlineStr">
        <is>
          <t>Chưa test</t>
        </is>
      </c>
      <c r="L48" s="13" t="inlineStr"/>
      <c r="M48" s="13" t="inlineStr"/>
      <c r="N48" s="13" t="inlineStr"/>
      <c r="O48" s="19" t="n"/>
      <c r="P48" s="13" t="inlineStr"/>
    </row>
    <row r="49" ht="86" customHeight="1">
      <c r="A49" s="16" t="inlineStr">
        <is>
          <t>GC-03</t>
        </is>
      </c>
      <c r="B49" s="12" t="inlineStr">
        <is>
          <t>Ghép chuyến</t>
        </is>
      </c>
      <c r="C49" s="12" t="inlineStr">
        <is>
          <t>Bí danh khi chưa chốt</t>
        </is>
      </c>
      <c r="D49" s="17" t="inlineStr">
        <is>
          <t>Người đi cùng</t>
        </is>
      </c>
      <c r="E49" s="18" t="inlineStr">
        <is>
          <t>Cao</t>
        </is>
      </c>
      <c r="F49" s="12" t="inlineStr">
        <is>
          <t>Vừa gửi yêu cầu ghép.</t>
        </is>
      </c>
      <c r="G49" s="12" t="inlineStr">
        <is>
          <t>1. Vào 'Chuyến đã hẹn', mở chuyến vừa ghép
2. Xem tên và số điện thoại của chủ xe
3. Mở khung trao đổi tin nhắn</t>
        </is>
      </c>
      <c r="H49" s="12" t="inlineStr">
        <is>
          <t>-</t>
        </is>
      </c>
      <c r="I49" s="12" t="inlineStr">
        <is>
          <t>1-2. Chỉ thấy bí danh CX-xxx và số điện thoại bị che, không có số thật
3. Trong khung chat cũng chỉ hiện bí danh 2 bên</t>
        </is>
      </c>
      <c r="J49" s="14" t="inlineStr"/>
      <c r="K49" s="13" t="inlineStr">
        <is>
          <t>Chưa test</t>
        </is>
      </c>
      <c r="L49" s="13" t="inlineStr"/>
      <c r="M49" s="13" t="inlineStr"/>
      <c r="N49" s="13" t="inlineStr"/>
      <c r="O49" s="19" t="n"/>
      <c r="P49" s="13" t="inlineStr"/>
    </row>
    <row r="50" ht="86" customHeight="1">
      <c r="A50" s="16" t="inlineStr">
        <is>
          <t>GC-04</t>
        </is>
      </c>
      <c r="B50" s="12" t="inlineStr">
        <is>
          <t>Ghép chuyến</t>
        </is>
      </c>
      <c r="C50" s="12" t="inlineStr">
        <is>
          <t>Nhắn tin thoả thuận trước khi chốt</t>
        </is>
      </c>
      <c r="D50" s="17" t="inlineStr">
        <is>
          <t>Người đi cùng</t>
        </is>
      </c>
      <c r="E50" s="18" t="inlineStr">
        <is>
          <t>Cao</t>
        </is>
      </c>
      <c r="F50" s="12" t="inlineStr">
        <is>
          <t>Có 1 yêu cầu ghép đang chờ.</t>
        </is>
      </c>
      <c r="G50" s="12" t="inlineStr">
        <is>
          <t>1. Mở khung trao đổi, gõ 1 tin nhắn bình thường → gửi
2. Đăng nhập tài khoản chủ xe ở trình duyệt khác, mở đúng chuyến đó
3. Trả lời 1 tin</t>
        </is>
      </c>
      <c r="H50" s="12" t="inlineStr">
        <is>
          <t>'Mai 6h em có mặt ở ngã ba nhé'</t>
        </is>
      </c>
      <c r="I50" s="12" t="inlineStr">
        <is>
          <t>1. Tin hiện ngay trong khung chat kèm giờ gửi
2-3. Chủ xe nhận được tin, trả lời được; cả 2 bên thấy đủ hội thoại theo đúng thứ tự</t>
        </is>
      </c>
      <c r="J50" s="14" t="inlineStr"/>
      <c r="K50" s="13" t="inlineStr">
        <is>
          <t>Chưa test</t>
        </is>
      </c>
      <c r="L50" s="13" t="inlineStr"/>
      <c r="M50" s="13" t="inlineStr"/>
      <c r="N50" s="13" t="inlineStr"/>
      <c r="O50" s="19" t="n"/>
      <c r="P50" s="13" t="inlineStr"/>
    </row>
    <row r="51" ht="86" customHeight="1">
      <c r="A51" s="16" t="inlineStr">
        <is>
          <t>GC-05</t>
        </is>
      </c>
      <c r="B51" s="12" t="inlineStr">
        <is>
          <t>Ghép chuyến</t>
        </is>
      </c>
      <c r="C51" s="12" t="inlineStr">
        <is>
          <t>Chặn trao số điện thoại trong chat</t>
        </is>
      </c>
      <c r="D51" s="17" t="inlineStr">
        <is>
          <t>Người đi cùng</t>
        </is>
      </c>
      <c r="E51" s="18" t="inlineStr">
        <is>
          <t>Cao</t>
        </is>
      </c>
      <c r="F51" s="12" t="inlineStr">
        <is>
          <t>Đang chat ở chuyến chưa chốt.</t>
        </is>
      </c>
      <c r="G51" s="12" t="inlineStr">
        <is>
          <t>1. Gửi tin nhắn có kèm số điện thoại
2. Thử viết số kiểu lách: '0 9 8 7...' hoặc 'không chín tám bảy…'
3. Gửi tin kèm link Zalo cá nhân</t>
        </is>
      </c>
      <c r="H51" s="12" t="inlineStr">
        <is>
          <t>'gọi em 0987654321 nhé'</t>
        </is>
      </c>
      <c r="I51" s="12" t="inlineStr">
        <is>
          <t>1-3. Hệ thống chặn hoặc che số, hiện cảnh báo nhắc chốt chuyến trước khi trao đổi liên hệ. Đối phương không đọc được số thật</t>
        </is>
      </c>
      <c r="J51" s="14" t="inlineStr"/>
      <c r="K51" s="13" t="inlineStr">
        <is>
          <t>Chưa test</t>
        </is>
      </c>
      <c r="L51" s="13" t="inlineStr"/>
      <c r="M51" s="13" t="inlineStr"/>
      <c r="N51" s="13" t="inlineStr"/>
      <c r="O51" s="19" t="n"/>
      <c r="P51" s="13" t="inlineStr"/>
    </row>
    <row r="52" ht="86" customHeight="1">
      <c r="A52" s="16" t="inlineStr">
        <is>
          <t>GC-06</t>
        </is>
      </c>
      <c r="B52" s="12" t="inlineStr">
        <is>
          <t>Ghép chuyến</t>
        </is>
      </c>
      <c r="C52" s="12" t="inlineStr">
        <is>
          <t>Chủ xe đề xuất chốt chuyến</t>
        </is>
      </c>
      <c r="D52" s="17" t="inlineStr">
        <is>
          <t>Chủ xe</t>
        </is>
      </c>
      <c r="E52" s="18" t="inlineStr">
        <is>
          <t>Cao</t>
        </is>
      </c>
      <c r="F52" s="12" t="inlineStr">
        <is>
          <t>Có 1 yêu cầu ghép đang trao đổi.</t>
        </is>
      </c>
      <c r="G52" s="12" t="inlineStr">
        <is>
          <t>1. Đăng nhập tài khoản chủ xe, mở yêu cầu ghép
2. Bấm nút đề xuất chốt chuyến
3. Quan sát khung chat và trạng thái</t>
        </is>
      </c>
      <c r="H52" s="12" t="inlineStr">
        <is>
          <t>-</t>
        </is>
      </c>
      <c r="I52" s="12" t="inlineStr">
        <is>
          <t>1-2. Chốt được, có tin nhắn hệ thống báo đã tạm giữ chỗ 15 phút
3. Cả 2 bên thấy đồng hồ đếm ngược 15 phút và nút xác nhận chốt phía đối phương</t>
        </is>
      </c>
      <c r="J52" s="14" t="inlineStr"/>
      <c r="K52" s="13" t="inlineStr">
        <is>
          <t>Chưa test</t>
        </is>
      </c>
      <c r="L52" s="13" t="inlineStr"/>
      <c r="M52" s="13" t="inlineStr"/>
      <c r="N52" s="13" t="inlineStr"/>
      <c r="O52" s="19" t="n"/>
      <c r="P52" s="13" t="inlineStr"/>
    </row>
    <row r="53" ht="86" customHeight="1">
      <c r="A53" s="16" t="inlineStr">
        <is>
          <t>GC-07</t>
        </is>
      </c>
      <c r="B53" s="12" t="inlineStr">
        <is>
          <t>Ghép chuyến</t>
        </is>
      </c>
      <c r="C53" s="12" t="inlineStr">
        <is>
          <t>Xác nhận chốt 2 chiều &amp; mở khoá liên hệ</t>
        </is>
      </c>
      <c r="D53" s="17" t="inlineStr">
        <is>
          <t>Người đi cùng</t>
        </is>
      </c>
      <c r="E53" s="18" t="inlineStr">
        <is>
          <t>Cao</t>
        </is>
      </c>
      <c r="F53" s="12" t="inlineStr">
        <is>
          <t>Chủ xe vừa đề xuất chốt, còn trong 15 phút.</t>
        </is>
      </c>
      <c r="G53" s="12" t="inlineStr">
        <is>
          <t>1. Bên người đi cùng bấm xác nhận chốt
2. Xem lại thông tin liên hệ 2 bên
3. Xem 'Còn N chỗ' của chuyến đó ngoài 'Khám phá'</t>
        </is>
      </c>
      <c r="H53" s="12" t="inlineStr">
        <is>
          <t>-</t>
        </is>
      </c>
      <c r="I53" s="12" t="inlineStr">
        <is>
          <t>1. Có tin nhắn hệ thống chúc mừng chốt chính thức 2 chiều
2. Số điện thoại thật của cả 2 bên hiện ra, nút 'Nhắn Zalo' và 'Gọi ngay' hoạt động
3. Số chỗ trống của chuyến giảm đúng bằng số ghế đã chốt</t>
        </is>
      </c>
      <c r="J53" s="14" t="inlineStr"/>
      <c r="K53" s="13" t="inlineStr">
        <is>
          <t>Chưa test</t>
        </is>
      </c>
      <c r="L53" s="13" t="inlineStr"/>
      <c r="M53" s="13" t="inlineStr"/>
      <c r="N53" s="13" t="inlineStr"/>
      <c r="O53" s="19" t="n"/>
      <c r="P53" s="13" t="inlineStr"/>
    </row>
    <row r="54" ht="86" customHeight="1">
      <c r="A54" s="16" t="inlineStr">
        <is>
          <t>GC-08</t>
        </is>
      </c>
      <c r="B54" s="12" t="inlineStr">
        <is>
          <t>Ghép chuyến</t>
        </is>
      </c>
      <c r="C54" s="12" t="inlineStr">
        <is>
          <t>Hết hạn giữ chỗ 15 phút</t>
        </is>
      </c>
      <c r="D54" s="17" t="inlineStr">
        <is>
          <t>Người đi cùng</t>
        </is>
      </c>
      <c r="E54" s="18" t="inlineStr">
        <is>
          <t>Cao</t>
        </is>
      </c>
      <c r="F54" s="12" t="inlineStr">
        <is>
          <t>Có 1 yêu cầu vừa được đề xuất chốt.</t>
        </is>
      </c>
      <c r="G54" s="12" t="inlineStr">
        <is>
          <t>1. Cố tình KHÔNG xác nhận, đợi quá 15 phút
2. Tải lại trang, mở lại chuyến đó
3. Bấm xác nhận chốt lúc này</t>
        </is>
      </c>
      <c r="H54" s="12" t="inlineStr">
        <is>
          <t>-</t>
        </is>
      </c>
      <c r="I54" s="12" t="inlineStr">
        <is>
          <t>1-2. Trạng thái tự chuyển sang hết hạn, đồng hồ dừng
3. Không chốt được nữa, báo đã hết thời hạn giữ chỗ và mời thoả thuận lại; ghế được trả về cho chuyến</t>
        </is>
      </c>
      <c r="J54" s="14" t="inlineStr"/>
      <c r="K54" s="13" t="inlineStr">
        <is>
          <t>Chưa test</t>
        </is>
      </c>
      <c r="L54" s="13" t="inlineStr"/>
      <c r="M54" s="13" t="inlineStr"/>
      <c r="N54" s="13" t="inlineStr"/>
      <c r="O54" s="19" t="n"/>
      <c r="P54" s="13" t="inlineStr"/>
    </row>
    <row r="55" ht="86" customHeight="1">
      <c r="A55" s="16" t="inlineStr">
        <is>
          <t>GC-09</t>
        </is>
      </c>
      <c r="B55" s="12" t="inlineStr">
        <is>
          <t>Ghép chuyến</t>
        </is>
      </c>
      <c r="C55" s="12" t="inlineStr">
        <is>
          <t>Nhắn Zalo &amp; Gọi ngay sau khi chốt</t>
        </is>
      </c>
      <c r="D55" s="17" t="inlineStr">
        <is>
          <t>Người đi cùng</t>
        </is>
      </c>
      <c r="E55" s="18" t="inlineStr">
        <is>
          <t>Cao</t>
        </is>
      </c>
      <c r="F55" s="12" t="inlineStr">
        <is>
          <t>Chuyến đã chốt chính thức. Máy có cài Zalo.</t>
        </is>
      </c>
      <c r="G55" s="12" t="inlineStr">
        <is>
          <t>1. Ở 'Chuyến đã hẹn', bấm 'Nhắn Zalo'
2. Quay lại, bấm 'Gọi ngay'</t>
        </is>
      </c>
      <c r="H55" s="12" t="inlineStr">
        <is>
          <t>-</t>
        </is>
      </c>
      <c r="I55" s="12" t="inlineStr">
        <is>
          <t>1. Mở đúng cửa sổ chat Zalo với đúng số của đối phương, có sẵn lời nhắn gợi ý đúng chuyến
2. Máy gọi mở sẵn đúng số điện thoại đối phương</t>
        </is>
      </c>
      <c r="J55" s="14" t="inlineStr"/>
      <c r="K55" s="13" t="inlineStr">
        <is>
          <t>Chưa test</t>
        </is>
      </c>
      <c r="L55" s="13" t="inlineStr"/>
      <c r="M55" s="13" t="inlineStr"/>
      <c r="N55" s="13" t="inlineStr"/>
      <c r="O55" s="19" t="n"/>
      <c r="P55" s="13" t="inlineStr"/>
    </row>
    <row r="56" ht="86" customHeight="1">
      <c r="A56" s="16" t="inlineStr">
        <is>
          <t>GC-10</t>
        </is>
      </c>
      <c r="B56" s="12" t="inlineStr">
        <is>
          <t>Ghép chuyến</t>
        </is>
      </c>
      <c r="C56" s="12" t="inlineStr">
        <is>
          <t>Báo trễ hẹn</t>
        </is>
      </c>
      <c r="D56" s="17" t="inlineStr">
        <is>
          <t>Người đi cùng</t>
        </is>
      </c>
      <c r="E56" s="17" t="inlineStr">
        <is>
          <t>TB</t>
        </is>
      </c>
      <c r="F56" s="12" t="inlineStr">
        <is>
          <t>Có chuyến đã chốt.</t>
        </is>
      </c>
      <c r="G56" s="12" t="inlineStr">
        <is>
          <t>1. Bấm 'Báo trễ'
2. Chọn số phút trễ, nhập lời nhắn
3. Bấm 'Gửi báo trễ'
4. Kiểm tra ở tài khoản đối phương</t>
        </is>
      </c>
      <c r="H56" s="12" t="inlineStr">
        <is>
          <t>+15 phút · 'Kẹt xe đoạn quốc lộ'</t>
        </is>
      </c>
      <c r="I56" s="12" t="inlineStr">
        <is>
          <t>1-3. Gửi thành công, có xác nhận
4. Bên kia thấy thông báo trễ đúng số phút và lời nhắn</t>
        </is>
      </c>
      <c r="J56" s="14" t="inlineStr"/>
      <c r="K56" s="13" t="inlineStr">
        <is>
          <t>Chưa test</t>
        </is>
      </c>
      <c r="L56" s="13" t="inlineStr"/>
      <c r="M56" s="13" t="inlineStr"/>
      <c r="N56" s="13" t="inlineStr"/>
      <c r="O56" s="19" t="n"/>
      <c r="P56" s="13" t="inlineStr"/>
    </row>
    <row r="57" ht="86" customHeight="1">
      <c r="A57" s="16" t="inlineStr">
        <is>
          <t>GC-11</t>
        </is>
      </c>
      <c r="B57" s="12" t="inlineStr">
        <is>
          <t>Ghép chuyến</t>
        </is>
      </c>
      <c r="C57" s="12" t="inlineStr">
        <is>
          <t>Huỷ chuyến đã hẹn</t>
        </is>
      </c>
      <c r="D57" s="17" t="inlineStr">
        <is>
          <t>Người đi cùng</t>
        </is>
      </c>
      <c r="E57" s="18" t="inlineStr">
        <is>
          <t>Cao</t>
        </is>
      </c>
      <c r="F57" s="12" t="inlineStr">
        <is>
          <t>Có chuyến đã chốt.</t>
        </is>
      </c>
      <c r="G57" s="12" t="inlineStr">
        <is>
          <t>1. Bấm 'Huỷ chuyến'
2. Đọc cửa sổ huỷ, chọn thời điểm báo huỷ và lý do
3. Bấm 'Xác nhận huỷ'
4. Xem lại số chỗ trống của chuyến gốc</t>
        </is>
      </c>
      <c r="H57" s="12" t="inlineStr">
        <is>
          <t>Trước 8 giờ · 'Thay đổi lịch trình đột xuất'</t>
        </is>
      </c>
      <c r="I57" s="12" t="inlineStr">
        <is>
          <t>1-2. Hiện rõ chính sách huỷ trước 8 giờ và sát giờ
3. Huỷ thành công, chuyến chuyển trạng thái đã huỷ ở cả 2 bên
4. Ghế được trả lại cho chuyến gốc</t>
        </is>
      </c>
      <c r="J57" s="14" t="inlineStr"/>
      <c r="K57" s="13" t="inlineStr">
        <is>
          <t>Chưa test</t>
        </is>
      </c>
      <c r="L57" s="13" t="inlineStr"/>
      <c r="M57" s="13" t="inlineStr"/>
      <c r="N57" s="13" t="inlineStr"/>
      <c r="O57" s="19" t="n"/>
      <c r="P57" s="13" t="inlineStr"/>
    </row>
    <row r="58" ht="86" customHeight="1">
      <c r="A58" s="16" t="inlineStr">
        <is>
          <t>GC-12</t>
        </is>
      </c>
      <c r="B58" s="12" t="inlineStr">
        <is>
          <t>Ghép chuyến</t>
        </is>
      </c>
      <c r="C58" s="12" t="inlineStr">
        <is>
          <t>Không thao tác được chuyến của người khác</t>
        </is>
      </c>
      <c r="D58" s="17" t="inlineStr">
        <is>
          <t>Tài khoản D</t>
        </is>
      </c>
      <c r="E58" s="18" t="inlineStr">
        <is>
          <t>Cao</t>
        </is>
      </c>
      <c r="F58" s="12" t="inlineStr">
        <is>
          <t>Tài khoản D không liên quan tới cặp A–C.</t>
        </is>
      </c>
      <c r="G58" s="12" t="inlineStr">
        <is>
          <t>1. Đăng nhập tài khoản D
2. Mở tab 'Chuyến đã hẹn'
3. Thử dán mã kết nối của cặp A–C vào URL để mở</t>
        </is>
      </c>
      <c r="H58" s="12" t="inlineStr">
        <is>
          <t>Mã kết nối của A–C</t>
        </is>
      </c>
      <c r="I58" s="12" t="inlineStr">
        <is>
          <t>1-2. Danh sách trống, không thấy chuyến của người khác
3. Mở bằng URL cũng bị từ chối, không xem/huỷ/đánh giá được</t>
        </is>
      </c>
      <c r="J58" s="14" t="inlineStr"/>
      <c r="K58" s="13" t="inlineStr">
        <is>
          <t>Chưa test</t>
        </is>
      </c>
      <c r="L58" s="13" t="inlineStr"/>
      <c r="M58" s="13" t="inlineStr"/>
      <c r="N58" s="13" t="inlineStr"/>
      <c r="O58" s="19" t="n"/>
      <c r="P58" s="13" t="inlineStr"/>
    </row>
    <row r="59" ht="86" customHeight="1">
      <c r="A59" s="16" t="inlineStr">
        <is>
          <t>SCD-01</t>
        </is>
      </c>
      <c r="B59" s="12" t="inlineStr">
        <is>
          <t>Sau chuyến đi</t>
        </is>
      </c>
      <c r="C59" s="12" t="inlineStr">
        <is>
          <t>Xác nhận đã đến nơi</t>
        </is>
      </c>
      <c r="D59" s="17" t="inlineStr">
        <is>
          <t>Người đi cùng</t>
        </is>
      </c>
      <c r="E59" s="18" t="inlineStr">
        <is>
          <t>Cao</t>
        </is>
      </c>
      <c r="F59" s="12" t="inlineStr">
        <is>
          <t>Có chuyến đã chốt và đã qua giờ đi.</t>
        </is>
      </c>
      <c r="G59" s="12" t="inlineStr">
        <is>
          <t>1. Ở 'Chuyến đã hẹn', bấm 'Đã đến nơi'
2. Quan sát trạng thái chuyến</t>
        </is>
      </c>
      <c r="H59" s="12" t="inlineStr">
        <is>
          <t>-</t>
        </is>
      </c>
      <c r="I59" s="12" t="inlineStr">
        <is>
          <t>1-2. Chuyến chuyển sang hoàn tất, hiện lời mời đánh giá đối phương</t>
        </is>
      </c>
      <c r="J59" s="14" t="inlineStr"/>
      <c r="K59" s="13" t="inlineStr">
        <is>
          <t>Chưa test</t>
        </is>
      </c>
      <c r="L59" s="13" t="inlineStr"/>
      <c r="M59" s="13" t="inlineStr"/>
      <c r="N59" s="13" t="inlineStr"/>
      <c r="O59" s="19" t="n"/>
      <c r="P59" s="13" t="inlineStr"/>
    </row>
    <row r="60" ht="86" customHeight="1">
      <c r="A60" s="16" t="inlineStr">
        <is>
          <t>SCD-02</t>
        </is>
      </c>
      <c r="B60" s="12" t="inlineStr">
        <is>
          <t>Sau chuyến đi</t>
        </is>
      </c>
      <c r="C60" s="12" t="inlineStr">
        <is>
          <t>Đánh giá 2 chiều</t>
        </is>
      </c>
      <c r="D60" s="17" t="inlineStr">
        <is>
          <t>Người đi cùng</t>
        </is>
      </c>
      <c r="E60" s="18" t="inlineStr">
        <is>
          <t>Cao</t>
        </is>
      </c>
      <c r="F60" s="12" t="inlineStr">
        <is>
          <t>Chuyến vừa hoàn tất.</t>
        </is>
      </c>
      <c r="G60" s="12" t="inlineStr">
        <is>
          <t>1. Chọn số sao, viết nhận xét, gửi
2. Đăng nhập tài khoản chủ xe, đánh giá lại người đi cùng
3. Mở hộ chiếu tín nhiệm của cả 2 bên</t>
        </is>
      </c>
      <c r="H60" s="12" t="inlineStr">
        <is>
          <t>5 sao · 'Chủ xe đúng giờ, xe sạch'</t>
        </is>
      </c>
      <c r="I60" s="12" t="inlineStr">
        <is>
          <t>1-2. Gửi đánh giá thành công, không cho đánh giá 2 lần cùng 1 chuyến
3. Số sao trung bình và số chuyến an toàn của cả 2 bên tăng lên tương ứng</t>
        </is>
      </c>
      <c r="J60" s="14" t="inlineStr"/>
      <c r="K60" s="13" t="inlineStr">
        <is>
          <t>Chưa test</t>
        </is>
      </c>
      <c r="L60" s="13" t="inlineStr"/>
      <c r="M60" s="13" t="inlineStr"/>
      <c r="N60" s="13" t="inlineStr"/>
      <c r="O60" s="19" t="n"/>
      <c r="P60" s="13" t="inlineStr"/>
    </row>
    <row r="61" ht="86" customHeight="1">
      <c r="A61" s="16" t="inlineStr">
        <is>
          <t>SCD-03</t>
        </is>
      </c>
      <c r="B61" s="12" t="inlineStr">
        <is>
          <t>Sau chuyến đi</t>
        </is>
      </c>
      <c r="C61" s="12" t="inlineStr">
        <is>
          <t>Báo xe đón không đúng cam kết</t>
        </is>
      </c>
      <c r="D61" s="17" t="inlineStr">
        <is>
          <t>Người đi cùng</t>
        </is>
      </c>
      <c r="E61" s="18" t="inlineStr">
        <is>
          <t>Cao</t>
        </is>
      </c>
      <c r="F61" s="12" t="inlineStr">
        <is>
          <t>Có chuyến đã chốt.</t>
        </is>
      </c>
      <c r="G61" s="12" t="inlineStr">
        <is>
          <t>1. Mở chuyến, chọn báo cáo sai lệch loại xe
2. Chọn loại sai lệch (biển vàng thay vì biển trắng), mô tả thêm
3. Gửi báo cáo</t>
        </is>
      </c>
      <c r="H61" s="12" t="inlineStr">
        <is>
          <t>Biển vàng · 'Xe tới đón là xe dịch vụ biển vàng'</t>
        </is>
      </c>
      <c r="I61" s="12" t="inlineStr">
        <is>
          <t>1-3. Gửi được, có xác nhận đã ghi nhận; báo cáo xuất hiện trong cổng quản trị</t>
        </is>
      </c>
      <c r="J61" s="14" t="inlineStr"/>
      <c r="K61" s="13" t="inlineStr">
        <is>
          <t>Chưa test</t>
        </is>
      </c>
      <c r="L61" s="13" t="inlineStr"/>
      <c r="M61" s="13" t="inlineStr"/>
      <c r="N61" s="13" t="inlineStr"/>
      <c r="O61" s="19" t="n"/>
      <c r="P61" s="13" t="inlineStr"/>
    </row>
    <row r="62" ht="86" customHeight="1">
      <c r="A62" s="16" t="inlineStr">
        <is>
          <t>SCD-04</t>
        </is>
      </c>
      <c r="B62" s="12" t="inlineStr">
        <is>
          <t>Sau chuyến đi</t>
        </is>
      </c>
      <c r="C62" s="12" t="inlineStr">
        <is>
          <t>Báo số điện thoại không liên lạc được</t>
        </is>
      </c>
      <c r="D62" s="17" t="inlineStr">
        <is>
          <t>Người đi cùng</t>
        </is>
      </c>
      <c r="E62" s="18" t="inlineStr">
        <is>
          <t>Cao</t>
        </is>
      </c>
      <c r="F62" s="12" t="inlineStr">
        <is>
          <t>Có chuyến đã chốt nhưng gọi không được.</t>
        </is>
      </c>
      <c r="G62" s="12" t="inlineStr">
        <is>
          <t>1. Mở chuyến, chọn báo số không liên lạc được
2. Mô tả và gửi</t>
        </is>
      </c>
      <c r="H62" s="12" t="inlineStr">
        <is>
          <t>-</t>
        </is>
      </c>
      <c r="I62" s="12" t="inlineStr">
        <is>
          <t>1-2. Ghi nhận thành công; hệ thống bắt đầu tính vào cơ chế xử phạt của tài khoản bị báo</t>
        </is>
      </c>
      <c r="J62" s="14" t="inlineStr"/>
      <c r="K62" s="13" t="inlineStr">
        <is>
          <t>Chưa test</t>
        </is>
      </c>
      <c r="L62" s="13" t="inlineStr"/>
      <c r="M62" s="13" t="inlineStr"/>
      <c r="N62" s="13" t="inlineStr"/>
      <c r="O62" s="19" t="n"/>
      <c r="P62" s="13" t="inlineStr"/>
    </row>
    <row r="63" ht="86" customHeight="1">
      <c r="A63" s="16" t="inlineStr">
        <is>
          <t>SCD-05</t>
        </is>
      </c>
      <c r="B63" s="12" t="inlineStr">
        <is>
          <t>Sau chuyến đi</t>
        </is>
      </c>
      <c r="C63" s="12" t="inlineStr">
        <is>
          <t>Xử phạt bậc thang lần 1 - cảnh cáo</t>
        </is>
      </c>
      <c r="D63" s="17" t="inlineStr">
        <is>
          <t>Quản trị viên</t>
        </is>
      </c>
      <c r="E63" s="18" t="inlineStr">
        <is>
          <t>Cao</t>
        </is>
      </c>
      <c r="F63" s="12" t="inlineStr">
        <is>
          <t>1 tài khoản vừa bị báo cáo lần đầu.</t>
        </is>
      </c>
      <c r="G63" s="12" t="inlineStr">
        <is>
          <t>1. Vào cổng quản trị, mở mục báo cáo
2. Mở hồ sơ tài khoản bị báo</t>
        </is>
      </c>
      <c r="H63" s="12" t="inlineStr">
        <is>
          <t>-</t>
        </is>
      </c>
      <c r="I63" s="12" t="inlineStr">
        <is>
          <t>1-2. Ghi nhận 1 lần vi phạm, tài khoản chỉ bị cảnh cáo, vẫn đăng và ghép chuyến bình thường</t>
        </is>
      </c>
      <c r="J63" s="14" t="inlineStr"/>
      <c r="K63" s="13" t="inlineStr">
        <is>
          <t>Chưa test</t>
        </is>
      </c>
      <c r="L63" s="13" t="inlineStr"/>
      <c r="M63" s="13" t="inlineStr"/>
      <c r="N63" s="13" t="inlineStr"/>
      <c r="O63" s="19" t="n"/>
      <c r="P63" s="13" t="inlineStr"/>
    </row>
    <row r="64" ht="86" customHeight="1">
      <c r="A64" s="16" t="inlineStr">
        <is>
          <t>SCD-06</t>
        </is>
      </c>
      <c r="B64" s="12" t="inlineStr">
        <is>
          <t>Sau chuyến đi</t>
        </is>
      </c>
      <c r="C64" s="12" t="inlineStr">
        <is>
          <t>Xử phạt bậc thang lần 2 - hạ điểm</t>
        </is>
      </c>
      <c r="D64" s="17" t="inlineStr">
        <is>
          <t>Quản trị viên</t>
        </is>
      </c>
      <c r="E64" s="18" t="inlineStr">
        <is>
          <t>Cao</t>
        </is>
      </c>
      <c r="F64" s="12" t="inlineStr">
        <is>
          <t>Tài khoản đã bị báo cáo hợp lệ lần thứ 2.</t>
        </is>
      </c>
      <c r="G64" s="12" t="inlineStr">
        <is>
          <t>1. Mở hồ sơ tài khoản đó
2. So sánh điểm tín nhiệm trước và sau</t>
        </is>
      </c>
      <c r="H64" s="12" t="inlineStr">
        <is>
          <t>-</t>
        </is>
      </c>
      <c r="I64" s="12" t="inlineStr">
        <is>
          <t>1-2. Điểm tín nhiệm bị hạ, hồ sơ hiển thị cảnh báo cho người dùng khác thấy</t>
        </is>
      </c>
      <c r="J64" s="14" t="inlineStr"/>
      <c r="K64" s="13" t="inlineStr">
        <is>
          <t>Chưa test</t>
        </is>
      </c>
      <c r="L64" s="13" t="inlineStr"/>
      <c r="M64" s="13" t="inlineStr"/>
      <c r="N64" s="13" t="inlineStr"/>
      <c r="O64" s="19" t="n"/>
      <c r="P64" s="13" t="inlineStr"/>
    </row>
    <row r="65" ht="86" customHeight="1">
      <c r="A65" s="16" t="inlineStr">
        <is>
          <t>SCD-07</t>
        </is>
      </c>
      <c r="B65" s="12" t="inlineStr">
        <is>
          <t>Sau chuyến đi</t>
        </is>
      </c>
      <c r="C65" s="12" t="inlineStr">
        <is>
          <t>Xử phạt bậc thang lần 3 - khoá tài khoản</t>
        </is>
      </c>
      <c r="D65" s="17" t="inlineStr">
        <is>
          <t>Quản trị viên</t>
        </is>
      </c>
      <c r="E65" s="18" t="inlineStr">
        <is>
          <t>Cao</t>
        </is>
      </c>
      <c r="F65" s="12" t="inlineStr">
        <is>
          <t>Tài khoản đã bị báo cáo hợp lệ lần thứ 3.</t>
        </is>
      </c>
      <c r="G65" s="12" t="inlineStr">
        <is>
          <t>1. Mở hồ sơ tài khoản đó
2. Đăng nhập bằng chính tài khoản bị khoá
3. Thử đăng chuyến và thử ghép chuyến</t>
        </is>
      </c>
      <c r="H65" s="12" t="inlineStr">
        <is>
          <t>-</t>
        </is>
      </c>
      <c r="I65" s="12" t="inlineStr">
        <is>
          <t>1. Trạng thái là đã khoá
2-3. Không đăng được chuyến, không ghép được chuyến, có thông báo tài khoản bị hạn chế</t>
        </is>
      </c>
      <c r="J65" s="14" t="inlineStr"/>
      <c r="K65" s="13" t="inlineStr">
        <is>
          <t>Chưa test</t>
        </is>
      </c>
      <c r="L65" s="13" t="inlineStr"/>
      <c r="M65" s="13" t="inlineStr"/>
      <c r="N65" s="13" t="inlineStr"/>
      <c r="O65" s="19" t="n"/>
      <c r="P65" s="13" t="inlineStr"/>
    </row>
    <row r="66" ht="86" customHeight="1">
      <c r="A66" s="16" t="inlineStr">
        <is>
          <t>SCD-08</t>
        </is>
      </c>
      <c r="B66" s="12" t="inlineStr">
        <is>
          <t>Sau chuyến đi</t>
        </is>
      </c>
      <c r="C66" s="12" t="inlineStr">
        <is>
          <t>Quản trị xử lý báo cáo 1 chạm</t>
        </is>
      </c>
      <c r="D66" s="17" t="inlineStr">
        <is>
          <t>Quản trị viên</t>
        </is>
      </c>
      <c r="E66" s="18" t="inlineStr">
        <is>
          <t>Cao</t>
        </is>
      </c>
      <c r="F66" s="12" t="inlineStr">
        <is>
          <t>Có báo cáo đang chờ xử lý.</t>
        </is>
      </c>
      <c r="G66" s="12" t="inlineStr">
        <is>
          <t>1. Vào cổng quản trị → mục báo cáo
2. Bấm xử lý trên 1 báo cáo
3. Bấm 'Bỏ qua' trên 1 báo cáo khác</t>
        </is>
      </c>
      <c r="H66" s="12" t="inlineStr">
        <is>
          <t>-</t>
        </is>
      </c>
      <c r="I66" s="12" t="inlineStr">
        <is>
          <t>1-3. Cả 2 thao tác đều xong trong 1 lần bấm, danh sách cập nhật ngay, báo cáo chuyển sang đã xử lý / đã bỏ qua</t>
        </is>
      </c>
      <c r="J66" s="14" t="inlineStr"/>
      <c r="K66" s="13" t="inlineStr">
        <is>
          <t>Chưa test</t>
        </is>
      </c>
      <c r="L66" s="13" t="inlineStr"/>
      <c r="M66" s="13" t="inlineStr"/>
      <c r="N66" s="13" t="inlineStr"/>
      <c r="O66" s="19" t="n"/>
      <c r="P66" s="13" t="inlineStr"/>
    </row>
    <row r="67" ht="86" customHeight="1">
      <c r="A67" s="16" t="inlineStr">
        <is>
          <t>RGC-01</t>
        </is>
      </c>
      <c r="B67" s="12" t="inlineStr">
        <is>
          <t>Radar ghép chuyến</t>
        </is>
      </c>
      <c r="C67" s="12" t="inlineStr">
        <is>
          <t>Xem gợi ý người cùng đường</t>
        </is>
      </c>
      <c r="D67" s="17" t="inlineStr">
        <is>
          <t>Chủ xe</t>
        </is>
      </c>
      <c r="E67" s="18" t="inlineStr">
        <is>
          <t>Cao</t>
        </is>
      </c>
      <c r="F67" s="12" t="inlineStr">
        <is>
          <t>Trên hệ thống có cả bài chủ xe và bài tìm xe cùng tuyến.</t>
        </is>
      </c>
      <c r="G67" s="12" t="inlineStr">
        <is>
          <t>1. Bấm 'Ghép chuyến' trên header
2. Chọn 'Tôi là chủ xe'
3. Chọn tuyến của bạn</t>
        </is>
      </c>
      <c r="H67" s="12" t="inlineStr">
        <is>
          <t>Lộc Ninh → Sài Gòn</t>
        </is>
      </c>
      <c r="I67" s="12" t="inlineStr">
        <is>
          <t>1-2. Mở màn 'Ghép xe tiện tuyến', hiện 'N người cùng đường'
3. Chỉ liệt kê người tìm xe cùng tuyến và khung giờ hợp lý, có nhãn 'Đồng hương' khi trùng quê</t>
        </is>
      </c>
      <c r="J67" s="14" t="inlineStr"/>
      <c r="K67" s="13" t="inlineStr">
        <is>
          <t>Chưa test</t>
        </is>
      </c>
      <c r="L67" s="13" t="inlineStr"/>
      <c r="M67" s="13" t="inlineStr"/>
      <c r="N67" s="13" t="inlineStr"/>
      <c r="O67" s="19" t="n"/>
      <c r="P67" s="13" t="inlineStr"/>
    </row>
    <row r="68" ht="86" customHeight="1">
      <c r="A68" s="16" t="inlineStr">
        <is>
          <t>RGC-02</t>
        </is>
      </c>
      <c r="B68" s="12" t="inlineStr">
        <is>
          <t>Radar ghép chuyến</t>
        </is>
      </c>
      <c r="C68" s="12" t="inlineStr">
        <is>
          <t>Đổi vai trò tìm kiếm</t>
        </is>
      </c>
      <c r="D68" s="17" t="inlineStr">
        <is>
          <t>Người đi cùng</t>
        </is>
      </c>
      <c r="E68" s="18" t="inlineStr">
        <is>
          <t>Cao</t>
        </is>
      </c>
      <c r="F68" s="12" t="inlineStr">
        <is>
          <t>Đang ở màn Ghép chuyến.</t>
        </is>
      </c>
      <c r="G68" s="12" t="inlineStr">
        <is>
          <t>1. Bấm 'Tôi cần đi cùng'
2. Xem danh sách</t>
        </is>
      </c>
      <c r="H68" s="12" t="inlineStr">
        <is>
          <t>-</t>
        </is>
      </c>
      <c r="I68" s="12" t="inlineStr">
        <is>
          <t>1-2. Danh sách đổi sang 'Chủ xe đang có ghế trống (N)', đúng vai trò ngược lại</t>
        </is>
      </c>
      <c r="J68" s="14" t="inlineStr"/>
      <c r="K68" s="13" t="inlineStr">
        <is>
          <t>Chưa test</t>
        </is>
      </c>
      <c r="L68" s="13" t="inlineStr"/>
      <c r="M68" s="13" t="inlineStr"/>
      <c r="N68" s="13" t="inlineStr"/>
      <c r="O68" s="19" t="n"/>
      <c r="P68" s="13" t="inlineStr"/>
    </row>
    <row r="69" ht="86" customHeight="1">
      <c r="A69" s="16" t="inlineStr">
        <is>
          <t>RGC-03</t>
        </is>
      </c>
      <c r="B69" s="12" t="inlineStr">
        <is>
          <t>Radar ghép chuyến</t>
        </is>
      </c>
      <c r="C69" s="12" t="inlineStr">
        <is>
          <t>Chọn tất cả tuyến khi rỗng</t>
        </is>
      </c>
      <c r="D69" s="17" t="inlineStr">
        <is>
          <t>Người đi cùng</t>
        </is>
      </c>
      <c r="E69" s="17" t="inlineStr">
        <is>
          <t>TB</t>
        </is>
      </c>
      <c r="F69" s="12" t="inlineStr">
        <is>
          <t>Chọn 1 tuyến chưa có chuyến nào.</t>
        </is>
      </c>
      <c r="G69" s="12" t="inlineStr">
        <is>
          <t>1. Chọn tuyến hiếm
2. Bấm 'Tất cả tuyến'</t>
        </is>
      </c>
      <c r="H69" s="12" t="inlineStr">
        <is>
          <t>-</t>
        </is>
      </c>
      <c r="I69" s="12" t="inlineStr">
        <is>
          <t>1. Hiện 'Chưa có chuyến trên tuyến này' kèm gợi ý
2. Chọn tất cả tuyến thì danh sách đầy đủ trở lại</t>
        </is>
      </c>
      <c r="J69" s="14" t="inlineStr"/>
      <c r="K69" s="13" t="inlineStr">
        <is>
          <t>Chưa test</t>
        </is>
      </c>
      <c r="L69" s="13" t="inlineStr"/>
      <c r="M69" s="13" t="inlineStr"/>
      <c r="N69" s="13" t="inlineStr"/>
      <c r="O69" s="19" t="n"/>
      <c r="P69" s="13" t="inlineStr"/>
    </row>
    <row r="70" ht="86" customHeight="1">
      <c r="A70" s="16" t="inlineStr">
        <is>
          <t>RGC-04</t>
        </is>
      </c>
      <c r="B70" s="12" t="inlineStr">
        <is>
          <t>Radar ghép chuyến</t>
        </is>
      </c>
      <c r="C70" s="12" t="inlineStr">
        <is>
          <t>Ghép trực tiếp từ Radar</t>
        </is>
      </c>
      <c r="D70" s="17" t="inlineStr">
        <is>
          <t>Chủ xe</t>
        </is>
      </c>
      <c r="E70" s="18" t="inlineStr">
        <is>
          <t>Cao</t>
        </is>
      </c>
      <c r="F70" s="12" t="inlineStr">
        <is>
          <t>Có ít nhất 1 người tìm xe cùng tuyến.</t>
        </is>
      </c>
      <c r="G70" s="12" t="inlineStr">
        <is>
          <t>1. Bấm 'Nhận đón' trên 1 người tìm xe
2. Hoàn tất cửa sổ ghép</t>
        </is>
      </c>
      <c r="H70" s="12" t="inlineStr">
        <is>
          <t>-</t>
        </is>
      </c>
      <c r="I70" s="12" t="inlineStr">
        <is>
          <t>1-2. Mở đúng cửa sổ ghép của người đó, gửi được yêu cầu, chuyến xuất hiện ở 'Chuyến đã hẹn'</t>
        </is>
      </c>
      <c r="J70" s="14" t="inlineStr"/>
      <c r="K70" s="13" t="inlineStr">
        <is>
          <t>Chưa test</t>
        </is>
      </c>
      <c r="L70" s="13" t="inlineStr"/>
      <c r="M70" s="13" t="inlineStr"/>
      <c r="N70" s="13" t="inlineStr"/>
      <c r="O70" s="19" t="n"/>
      <c r="P70" s="13" t="inlineStr"/>
    </row>
    <row r="71" ht="86" customHeight="1">
      <c r="A71" s="16" t="inlineStr">
        <is>
          <t>HST-01</t>
        </is>
      </c>
      <c r="B71" s="12" t="inlineStr">
        <is>
          <t>Hồ sơ &amp; Tín nhiệm</t>
        </is>
      </c>
      <c r="C71" s="12" t="inlineStr">
        <is>
          <t>Xem hộ chiếu tín nhiệm của mình</t>
        </is>
      </c>
      <c r="D71" s="17" t="inlineStr">
        <is>
          <t>Đã đăng nhập</t>
        </is>
      </c>
      <c r="E71" s="18" t="inlineStr">
        <is>
          <t>Cao</t>
        </is>
      </c>
      <c r="F71" s="12" t="inlineStr">
        <is>
          <t>Đã đăng nhập.</t>
        </is>
      </c>
      <c r="G71" s="12" t="inlineStr">
        <is>
          <t>1. Bấm 'Tín nhiệm' trên header
2. Đọc các mục hiển thị</t>
        </is>
      </c>
      <c r="H71" s="12" t="inlineStr">
        <is>
          <t>-</t>
        </is>
      </c>
      <c r="I71" s="12" t="inlineStr">
        <is>
          <t>1-2. Hiện 'Điểm tín nhiệm', các bước xác minh (SĐT, CCCD, GPLX, đăng kiểm), số chuyến an toàn, đánh giá trung bình</t>
        </is>
      </c>
      <c r="J71" s="14" t="inlineStr"/>
      <c r="K71" s="13" t="inlineStr">
        <is>
          <t>Chưa test</t>
        </is>
      </c>
      <c r="L71" s="13" t="inlineStr"/>
      <c r="M71" s="13" t="inlineStr"/>
      <c r="N71" s="13" t="inlineStr"/>
      <c r="O71" s="19" t="n"/>
      <c r="P71" s="13" t="inlineStr"/>
    </row>
    <row r="72" ht="86" customHeight="1">
      <c r="A72" s="16" t="inlineStr">
        <is>
          <t>HST-02</t>
        </is>
      </c>
      <c r="B72" s="12" t="inlineStr">
        <is>
          <t>Hồ sơ &amp; Tín nhiệm</t>
        </is>
      </c>
      <c r="C72" s="12" t="inlineStr">
        <is>
          <t>Trần điểm khi chưa có ảnh đại diện</t>
        </is>
      </c>
      <c r="D72" s="17" t="inlineStr">
        <is>
          <t>Đã đăng nhập</t>
        </is>
      </c>
      <c r="E72" s="18" t="inlineStr">
        <is>
          <t>Cao</t>
        </is>
      </c>
      <c r="F72" s="12" t="inlineStr">
        <is>
          <t>Dùng tài khoản test chưa có ảnh đại diện.</t>
        </is>
      </c>
      <c r="G72" s="12" t="inlineStr">
        <is>
          <t>1. Xác thực đầy đủ các mục có thể
2. Xem điểm tín nhiệm
3. Tải ảnh đại diện lên rồi xem lại điểm</t>
        </is>
      </c>
      <c r="H72" s="12" t="inlineStr">
        <is>
          <t>-</t>
        </is>
      </c>
      <c r="I72" s="12" t="inlineStr">
        <is>
          <t>1-2. Điểm bị chặn ở mức trần 65, có ghi chú giải thích lý do
3. Sau khi có ảnh đại diện, điểm được cộng tiếp lên trên mức trần</t>
        </is>
      </c>
      <c r="J72" s="14" t="inlineStr"/>
      <c r="K72" s="13" t="inlineStr">
        <is>
          <t>Chưa test</t>
        </is>
      </c>
      <c r="L72" s="13" t="inlineStr"/>
      <c r="M72" s="13" t="inlineStr"/>
      <c r="N72" s="13" t="inlineStr"/>
      <c r="O72" s="19" t="n"/>
      <c r="P72" s="13" t="inlineStr"/>
    </row>
    <row r="73" ht="86" customHeight="1">
      <c r="A73" s="16" t="inlineStr">
        <is>
          <t>HST-03</t>
        </is>
      </c>
      <c r="B73" s="12" t="inlineStr">
        <is>
          <t>Hồ sơ &amp; Tín nhiệm</t>
        </is>
      </c>
      <c r="C73" s="12" t="inlineStr">
        <is>
          <t>Xem hồ sơ tín nhiệm người khác</t>
        </is>
      </c>
      <c r="D73" s="17" t="inlineStr">
        <is>
          <t>Người đi cùng</t>
        </is>
      </c>
      <c r="E73" s="18" t="inlineStr">
        <is>
          <t>Cao</t>
        </is>
      </c>
      <c r="F73" s="12" t="inlineStr">
        <is>
          <t>Đang xem 1 chuyến của chủ xe khác.</t>
        </is>
      </c>
      <c r="G73" s="12" t="inlineStr">
        <is>
          <t>1. Bấm vào bí danh / avatar chủ xe trên thẻ chuyến
2. Đọc hồ sơ hiện ra</t>
        </is>
      </c>
      <c r="H73" s="12" t="inlineStr">
        <is>
          <t>-</t>
        </is>
      </c>
      <c r="I73" s="12" t="inlineStr">
        <is>
          <t>1-2. Xem được điểm tín nhiệm, số chuyến, đánh giá, các mục đã xác minh — nhưng KHÔNG thấy số điện thoại thật</t>
        </is>
      </c>
      <c r="J73" s="14" t="inlineStr"/>
      <c r="K73" s="13" t="inlineStr">
        <is>
          <t>Chưa test</t>
        </is>
      </c>
      <c r="L73" s="13" t="inlineStr"/>
      <c r="M73" s="13" t="inlineStr"/>
      <c r="N73" s="13" t="inlineStr"/>
      <c r="O73" s="19" t="n"/>
      <c r="P73" s="13" t="inlineStr"/>
    </row>
    <row r="74" ht="86" customHeight="1">
      <c r="A74" s="16" t="inlineStr">
        <is>
          <t>HST-04</t>
        </is>
      </c>
      <c r="B74" s="12" t="inlineStr">
        <is>
          <t>Hồ sơ &amp; Tín nhiệm</t>
        </is>
      </c>
      <c r="C74" s="12" t="inlineStr">
        <is>
          <t>Chia sẻ thẻ tín nhiệm</t>
        </is>
      </c>
      <c r="D74" s="17" t="inlineStr">
        <is>
          <t>Chủ xe</t>
        </is>
      </c>
      <c r="E74" s="17" t="inlineStr">
        <is>
          <t>TB</t>
        </is>
      </c>
      <c r="F74" s="12" t="inlineStr">
        <is>
          <t>Đang ở màn Tín nhiệm.</t>
        </is>
      </c>
      <c r="G74" s="12" t="inlineStr">
        <is>
          <t>1. Bấm 'Chia sẻ thẻ tín nhiệm'
2. Dán nội dung vào ô nhập bất kỳ để xem</t>
        </is>
      </c>
      <c r="H74" s="12" t="inlineStr">
        <is>
          <t>-</t>
        </is>
      </c>
      <c r="I74" s="12" t="inlineStr">
        <is>
          <t>1. Báo 'Đã sao chép'
2. Nội dung có điểm tín nhiệm, số chuyến, xe, và KHÔNG chứa số điện thoại thật</t>
        </is>
      </c>
      <c r="J74" s="14" t="inlineStr"/>
      <c r="K74" s="13" t="inlineStr">
        <is>
          <t>Chưa test</t>
        </is>
      </c>
      <c r="L74" s="13" t="inlineStr"/>
      <c r="M74" s="13" t="inlineStr"/>
      <c r="N74" s="13" t="inlineStr"/>
      <c r="O74" s="19" t="n"/>
      <c r="P74" s="13" t="inlineStr"/>
    </row>
    <row r="75" ht="86" customHeight="1">
      <c r="A75" s="16" t="inlineStr">
        <is>
          <t>HST-05</t>
        </is>
      </c>
      <c r="B75" s="12" t="inlineStr">
        <is>
          <t>Hồ sơ &amp; Tín nhiệm</t>
        </is>
      </c>
      <c r="C75" s="12" t="inlineStr">
        <is>
          <t>Chỉ báo đang online</t>
        </is>
      </c>
      <c r="D75" s="17" t="inlineStr">
        <is>
          <t>Người đi cùng</t>
        </is>
      </c>
      <c r="E75" s="17" t="inlineStr">
        <is>
          <t>TB</t>
        </is>
      </c>
      <c r="F75" s="12" t="inlineStr">
        <is>
          <t>Mở 2 trình duyệt: A đang mở app, B xem chuyến của A.</t>
        </is>
      </c>
      <c r="G75" s="12" t="inlineStr">
        <is>
          <t>1. Ở máy B, xem chấm trạng thái cạnh tên chủ xe A
2. Đóng hẳn app ở máy A, đợi vài phút
3. Xem lại ở máy B</t>
        </is>
      </c>
      <c r="H75" s="12" t="inlineStr">
        <is>
          <t>-</t>
        </is>
      </c>
      <c r="I75" s="12" t="inlineStr">
        <is>
          <t>1. Chấm xanh nhấp nháy, chú thích 'Đang online'
2-3. Chuyển sang chấm đỏ / 'Ngoại tuyến'</t>
        </is>
      </c>
      <c r="J75" s="14" t="inlineStr"/>
      <c r="K75" s="13" t="inlineStr">
        <is>
          <t>Chưa test</t>
        </is>
      </c>
      <c r="L75" s="13" t="inlineStr"/>
      <c r="M75" s="13" t="inlineStr"/>
      <c r="N75" s="13" t="inlineStr"/>
      <c r="O75" s="19" t="n"/>
      <c r="P75" s="13" t="inlineStr"/>
    </row>
    <row r="76" ht="86" customHeight="1">
      <c r="A76" s="16" t="inlineStr">
        <is>
          <t>HST-06</t>
        </is>
      </c>
      <c r="B76" s="12" t="inlineStr">
        <is>
          <t>Hồ sơ &amp; Tín nhiệm</t>
        </is>
      </c>
      <c r="C76" s="12" t="inlineStr">
        <is>
          <t>Hộp thư yêu cầu (chuông)</t>
        </is>
      </c>
      <c r="D76" s="17" t="inlineStr">
        <is>
          <t>Chủ xe</t>
        </is>
      </c>
      <c r="E76" s="18" t="inlineStr">
        <is>
          <t>Cao</t>
        </is>
      </c>
      <c r="F76" s="12" t="inlineStr">
        <is>
          <t>Vừa có người gửi yêu cầu ghép chuyến cho bạn.</t>
        </is>
      </c>
      <c r="G76" s="12" t="inlineStr">
        <is>
          <t>1. Nhìn biểu tượng chuông trên header
2. Bấm vào chuông
3. Bấm vào 1 yêu cầu trong danh sách</t>
        </is>
      </c>
      <c r="H76" s="12" t="inlineStr">
        <is>
          <t>-</t>
        </is>
      </c>
      <c r="I76" s="12" t="inlineStr">
        <is>
          <t>1. Chuông có chấm/số đếm yêu cầu mới
2. Mở hộp thư liệt kê các yêu cầu đang chờ
3. Mở đúng chuyến tương ứng, số đếm giảm sau khi đã xem</t>
        </is>
      </c>
      <c r="J76" s="14" t="inlineStr"/>
      <c r="K76" s="13" t="inlineStr">
        <is>
          <t>Chưa test</t>
        </is>
      </c>
      <c r="L76" s="13" t="inlineStr"/>
      <c r="M76" s="13" t="inlineStr"/>
      <c r="N76" s="13" t="inlineStr"/>
      <c r="O76" s="19" t="n"/>
      <c r="P76" s="13" t="inlineStr"/>
    </row>
    <row r="77" ht="86" customHeight="1">
      <c r="A77" s="16" t="inlineStr">
        <is>
          <t>HST-07</t>
        </is>
      </c>
      <c r="B77" s="12" t="inlineStr">
        <is>
          <t>Hồ sơ &amp; Tín nhiệm</t>
        </is>
      </c>
      <c r="C77" s="12" t="inlineStr">
        <is>
          <t>Bật chế độ tối</t>
        </is>
      </c>
      <c r="D77" s="17" t="inlineStr">
        <is>
          <t>Đã đăng nhập</t>
        </is>
      </c>
      <c r="E77" s="17" t="inlineStr">
        <is>
          <t>TB</t>
        </is>
      </c>
      <c r="F77" s="12" t="inlineStr">
        <is>
          <t>Đang ở màn Tín nhiệm.</t>
        </is>
      </c>
      <c r="G77" s="12" t="inlineStr">
        <is>
          <t>1. Tìm mục 'Chế độ hiển thị &amp; Bảo vệ mắt', bấm 'Bật chế độ tối'
2. Duyệt qua các tab chính
3. Tải lại trang</t>
        </is>
      </c>
      <c r="H77" s="12" t="inlineStr">
        <is>
          <t>-</t>
        </is>
      </c>
      <c r="I77" s="12" t="inlineStr">
        <is>
          <t>1. Toàn giao diện chuyển tối ngay
2. Mọi màn hình đều đọc được, không có chữ đen trên nền đen hay ngược lại
3. Tải lại vẫn giữ chế độ tối</t>
        </is>
      </c>
      <c r="J77" s="14" t="inlineStr"/>
      <c r="K77" s="13" t="inlineStr">
        <is>
          <t>Chưa test</t>
        </is>
      </c>
      <c r="L77" s="13" t="inlineStr"/>
      <c r="M77" s="13" t="inlineStr"/>
      <c r="N77" s="13" t="inlineStr"/>
      <c r="O77" s="19" t="n"/>
      <c r="P77" s="13" t="inlineStr"/>
    </row>
    <row r="78" ht="86" customHeight="1">
      <c r="A78" s="16" t="inlineStr">
        <is>
          <t>HST-08</t>
        </is>
      </c>
      <c r="B78" s="12" t="inlineStr">
        <is>
          <t>Hồ sơ &amp; Tín nhiệm</t>
        </is>
      </c>
      <c r="C78" s="12" t="inlineStr">
        <is>
          <t>Đổi ngôn ngữ Việt / Anh</t>
        </is>
      </c>
      <c r="D78" s="17" t="inlineStr">
        <is>
          <t>Đã đăng nhập</t>
        </is>
      </c>
      <c r="E78" s="17" t="inlineStr">
        <is>
          <t>TB</t>
        </is>
      </c>
      <c r="F78" s="12" t="inlineStr">
        <is>
          <t>-</t>
        </is>
      </c>
      <c r="G78" s="12" t="inlineStr">
        <is>
          <t>1. Vào mục 'Ngôn ngữ hiển thị', chọn English
2. Duyệt qua Khám phá, Ghép chuyến, Đăng chuyến, Chuyến đã hẹn
3. Đổi lại Tiếng Việt</t>
        </is>
      </c>
      <c r="H78" s="12" t="inlineStr">
        <is>
          <t>-</t>
        </is>
      </c>
      <c r="I78" s="12" t="inlineStr">
        <is>
          <t>1-2. Toàn bộ nhãn đổi sang tiếng Anh, không còn chỗ nào lẫn tiếng Việt hoặc hiện mã khoá dịch
3. Đổi lại về tiếng Việt trọn vẹn</t>
        </is>
      </c>
      <c r="J78" s="14" t="inlineStr"/>
      <c r="K78" s="13" t="inlineStr">
        <is>
          <t>Chưa test</t>
        </is>
      </c>
      <c r="L78" s="13" t="inlineStr"/>
      <c r="M78" s="13" t="inlineStr"/>
      <c r="N78" s="13" t="inlineStr"/>
      <c r="O78" s="19" t="n"/>
      <c r="P78" s="13" t="inlineStr"/>
    </row>
    <row r="79" ht="86" customHeight="1">
      <c r="A79" s="16" t="inlineStr">
        <is>
          <t>TLA-01</t>
        </is>
      </c>
      <c r="B79" s="12" t="inlineStr">
        <is>
          <t>Trợ lý AI</t>
        </is>
      </c>
      <c r="C79" s="12" t="inlineStr">
        <is>
          <t>Hỏi tìm chuyến bằng lời</t>
        </is>
      </c>
      <c r="D79" s="17" t="inlineStr">
        <is>
          <t>Đã đăng nhập</t>
        </is>
      </c>
      <c r="E79" s="18" t="inlineStr">
        <is>
          <t>Cao</t>
        </is>
      </c>
      <c r="F79" s="12" t="inlineStr">
        <is>
          <t>Có sẵn chuyến đi Sài Gòn ngày mai.</t>
        </is>
      </c>
      <c r="G79" s="12" t="inlineStr">
        <is>
          <t>1. Bấm biểu tượng trợ lý AI trên header
2. Gõ câu hỏi tự nhiên → gửi
3. Đối chiếu chuyến AI gợi ý với danh sách thật ngoài 'Khám phá'</t>
        </is>
      </c>
      <c r="H79" s="12" t="inlineStr">
        <is>
          <t>'Mai có xe nào đi Sài Gòn không?'</t>
        </is>
      </c>
      <c r="I79" s="12" t="inlineStr">
        <is>
          <t>1-2. Cửa sổ trợ lý mở, trả lời trong vài giây
3. Chuyến AI nhắc tới là chuyến CÓ THẬT trong hệ thống, không bịa</t>
        </is>
      </c>
      <c r="J79" s="14" t="inlineStr"/>
      <c r="K79" s="13" t="inlineStr">
        <is>
          <t>Chưa test</t>
        </is>
      </c>
      <c r="L79" s="13" t="inlineStr"/>
      <c r="M79" s="13" t="inlineStr"/>
      <c r="N79" s="13" t="inlineStr"/>
      <c r="O79" s="19" t="n"/>
      <c r="P79" s="13" t="inlineStr"/>
    </row>
    <row r="80" ht="86" customHeight="1">
      <c r="A80" s="16" t="inlineStr">
        <is>
          <t>TLA-02</t>
        </is>
      </c>
      <c r="B80" s="12" t="inlineStr">
        <is>
          <t>Trợ lý AI</t>
        </is>
      </c>
      <c r="C80" s="12" t="inlineStr">
        <is>
          <t>Hỏi câu thiếu thông tin</t>
        </is>
      </c>
      <c r="D80" s="17" t="inlineStr">
        <is>
          <t>Đã đăng nhập</t>
        </is>
      </c>
      <c r="E80" s="17" t="inlineStr">
        <is>
          <t>TB</t>
        </is>
      </c>
      <c r="F80" s="12" t="inlineStr">
        <is>
          <t>Đang mở trợ lý AI.</t>
        </is>
      </c>
      <c r="G80" s="12" t="inlineStr">
        <is>
          <t>1. Gõ 1 câu mơ hồ → gửi</t>
        </is>
      </c>
      <c r="H80" s="12" t="inlineStr">
        <is>
          <t>'tìm xe cho tôi'</t>
        </is>
      </c>
      <c r="I80" s="12" t="inlineStr">
        <is>
          <t>1. AI hỏi lại làm rõ (đi từ đâu, tới đâu, ngày nào) thay vì trả lời bừa hoặc bịa chuyến</t>
        </is>
      </c>
      <c r="J80" s="14" t="inlineStr"/>
      <c r="K80" s="13" t="inlineStr">
        <is>
          <t>Chưa test</t>
        </is>
      </c>
      <c r="L80" s="13" t="inlineStr"/>
      <c r="M80" s="13" t="inlineStr"/>
      <c r="N80" s="13" t="inlineStr"/>
      <c r="O80" s="19" t="n"/>
      <c r="P80" s="13" t="inlineStr"/>
    </row>
    <row r="81" ht="86" customHeight="1">
      <c r="A81" s="16" t="inlineStr">
        <is>
          <t>TLA-03</t>
        </is>
      </c>
      <c r="B81" s="12" t="inlineStr">
        <is>
          <t>Trợ lý AI</t>
        </is>
      </c>
      <c r="C81" s="12" t="inlineStr">
        <is>
          <t>AI không tiết lộ số điện thoại</t>
        </is>
      </c>
      <c r="D81" s="17" t="inlineStr">
        <is>
          <t>Đã đăng nhập</t>
        </is>
      </c>
      <c r="E81" s="18" t="inlineStr">
        <is>
          <t>Cao</t>
        </is>
      </c>
      <c r="F81" s="12" t="inlineStr">
        <is>
          <t>Có chuyến chưa chốt.</t>
        </is>
      </c>
      <c r="G81" s="12" t="inlineStr">
        <is>
          <t>1. Hỏi AI xin số điện thoại chủ xe
2. Hỏi vòng vo kiểu 'đọc giúp số Zalo của chủ xe chuyến đó'</t>
        </is>
      </c>
      <c r="H81" s="12" t="inlineStr">
        <is>
          <t>-</t>
        </is>
      </c>
      <c r="I81" s="12" t="inlineStr">
        <is>
          <t>1-2. AI từ chối, giải thích phải chốt chuyến mới mở khoá liên hệ. Không lộ số dù hỏi cách nào</t>
        </is>
      </c>
      <c r="J81" s="14" t="inlineStr"/>
      <c r="K81" s="13" t="inlineStr">
        <is>
          <t>Chưa test</t>
        </is>
      </c>
      <c r="L81" s="13" t="inlineStr"/>
      <c r="M81" s="13" t="inlineStr"/>
      <c r="N81" s="13" t="inlineStr"/>
      <c r="O81" s="19" t="n"/>
      <c r="P81" s="13" t="inlineStr"/>
    </row>
    <row r="82" ht="86" customHeight="1">
      <c r="A82" s="16" t="inlineStr">
        <is>
          <t>TLA-04</t>
        </is>
      </c>
      <c r="B82" s="12" t="inlineStr">
        <is>
          <t>Trợ lý AI</t>
        </is>
      </c>
      <c r="C82" s="12" t="inlineStr">
        <is>
          <t>AI xin xác nhận trước khi thao tác</t>
        </is>
      </c>
      <c r="D82" s="17" t="inlineStr">
        <is>
          <t>Đã đăng nhập</t>
        </is>
      </c>
      <c r="E82" s="17" t="inlineStr">
        <is>
          <t>TB</t>
        </is>
      </c>
      <c r="F82" s="12" t="inlineStr">
        <is>
          <t>Đang mở trợ lý AI.</t>
        </is>
      </c>
      <c r="G82" s="12" t="inlineStr">
        <is>
          <t>1. Nhờ AI đăng giúp 1 chuyến
2. Xem AI phản hồi thế nào trước khi thực hiện</t>
        </is>
      </c>
      <c r="H82" s="12" t="inlineStr">
        <is>
          <t>'đăng giúp tôi chuyến mai đi Vũng Tàu 2 chỗ'</t>
        </is>
      </c>
      <c r="I82" s="12" t="inlineStr">
        <is>
          <t>1-2. AI tóm tắt lại thông tin và hỏi xác nhận trước, chỉ thực hiện khi người dùng đồng ý</t>
        </is>
      </c>
      <c r="J82" s="14" t="inlineStr"/>
      <c r="K82" s="13" t="inlineStr">
        <is>
          <t>Chưa test</t>
        </is>
      </c>
      <c r="L82" s="13" t="inlineStr"/>
      <c r="M82" s="13" t="inlineStr"/>
      <c r="N82" s="13" t="inlineStr"/>
      <c r="O82" s="19" t="n"/>
      <c r="P82" s="13" t="inlineStr"/>
    </row>
    <row r="83" ht="86" customHeight="1">
      <c r="A83" s="16" t="inlineStr">
        <is>
          <t>TLA-05</t>
        </is>
      </c>
      <c r="B83" s="12" t="inlineStr">
        <is>
          <t>Trợ lý AI</t>
        </is>
      </c>
      <c r="C83" s="12" t="inlineStr">
        <is>
          <t>Đóng và mở lại trợ lý</t>
        </is>
      </c>
      <c r="D83" s="17" t="inlineStr">
        <is>
          <t>Đã đăng nhập</t>
        </is>
      </c>
      <c r="E83" s="17" t="inlineStr">
        <is>
          <t>Thấp</t>
        </is>
      </c>
      <c r="F83" s="12" t="inlineStr">
        <is>
          <t>Đã hỏi vài câu.</t>
        </is>
      </c>
      <c r="G83" s="12" t="inlineStr">
        <is>
          <t>1. Đóng cửa sổ trợ lý
2. Mở lại</t>
        </is>
      </c>
      <c r="H83" s="12" t="inlineStr">
        <is>
          <t>-</t>
        </is>
      </c>
      <c r="I83" s="12" t="inlineStr">
        <is>
          <t>1-2. Đóng mượt không kẹt; mở lại giữ được mạch hội thoại hoặc bắt đầu sạch sẽ, không lỗi trắng cửa sổ</t>
        </is>
      </c>
      <c r="J83" s="14" t="inlineStr"/>
      <c r="K83" s="13" t="inlineStr">
        <is>
          <t>Chưa test</t>
        </is>
      </c>
      <c r="L83" s="13" t="inlineStr"/>
      <c r="M83" s="13" t="inlineStr"/>
      <c r="N83" s="13" t="inlineStr"/>
      <c r="O83" s="19" t="n"/>
      <c r="P83" s="13" t="inlineStr"/>
    </row>
    <row r="84" ht="86" customHeight="1">
      <c r="A84" s="16" t="inlineStr">
        <is>
          <t>CQT-01</t>
        </is>
      </c>
      <c r="B84" s="12" t="inlineStr">
        <is>
          <t>Cổng quản trị</t>
        </is>
      </c>
      <c r="C84" s="12" t="inlineStr">
        <is>
          <t>Đăng nhập cổng quản trị</t>
        </is>
      </c>
      <c r="D84" s="17" t="inlineStr">
        <is>
          <t>Quản trị viên</t>
        </is>
      </c>
      <c r="E84" s="18" t="inlineStr">
        <is>
          <t>Cao</t>
        </is>
      </c>
      <c r="F84" s="12" t="inlineStr">
        <is>
          <t>Có tài khoản quản trị và bot Telegram đã cấu hình.</t>
        </is>
      </c>
      <c r="G84" s="12" t="inlineStr">
        <is>
          <t>1. Vào địa chỉ /admin
2. Nhập thông tin quản trị
3. Nhập mã xác thực 2 lớp gửi về Telegram</t>
        </is>
      </c>
      <c r="H84" s="12" t="inlineStr">
        <is>
          <t>-</t>
        </is>
      </c>
      <c r="I84" s="12" t="inlineStr">
        <is>
          <t>1-2. Hiện màn đăng nhập riêng cho quản trị
3. Chỉ vào được bảng điều khiển sau khi nhập đúng mã 2 lớp; mã sai hoặc hết hạn thì bị từ chối</t>
        </is>
      </c>
      <c r="J84" s="14" t="inlineStr"/>
      <c r="K84" s="13" t="inlineStr">
        <is>
          <t>Chưa test</t>
        </is>
      </c>
      <c r="L84" s="13" t="inlineStr"/>
      <c r="M84" s="13" t="inlineStr"/>
      <c r="N84" s="13" t="inlineStr"/>
      <c r="O84" s="19" t="n"/>
      <c r="P84" s="13" t="inlineStr"/>
    </row>
    <row r="85" ht="86" customHeight="1">
      <c r="A85" s="16" t="inlineStr">
        <is>
          <t>CQT-02</t>
        </is>
      </c>
      <c r="B85" s="12" t="inlineStr">
        <is>
          <t>Cổng quản trị</t>
        </is>
      </c>
      <c r="C85" s="12" t="inlineStr">
        <is>
          <t>Người thường không vào được /admin</t>
        </is>
      </c>
      <c r="D85" s="17" t="inlineStr">
        <is>
          <t>Người dùng thường</t>
        </is>
      </c>
      <c r="E85" s="18" t="inlineStr">
        <is>
          <t>Cao</t>
        </is>
      </c>
      <c r="F85" s="12" t="inlineStr">
        <is>
          <t>Đăng nhập bằng tài khoản người dùng thường.</t>
        </is>
      </c>
      <c r="G85" s="12" t="inlineStr">
        <is>
          <t>1. Gõ thẳng địa chỉ /admin trên thanh URL
2. Thử tải lại vài lần</t>
        </is>
      </c>
      <c r="H85" s="12" t="inlineStr">
        <is>
          <t>-</t>
        </is>
      </c>
      <c r="I85" s="12" t="inlineStr">
        <is>
          <t>1-2. Bị chặn hoàn toàn, không thấy bất kỳ số liệu quản trị nào</t>
        </is>
      </c>
      <c r="J85" s="14" t="inlineStr"/>
      <c r="K85" s="13" t="inlineStr">
        <is>
          <t>Chưa test</t>
        </is>
      </c>
      <c r="L85" s="13" t="inlineStr"/>
      <c r="M85" s="13" t="inlineStr"/>
      <c r="N85" s="13" t="inlineStr"/>
      <c r="O85" s="19" t="n"/>
      <c r="P85" s="13" t="inlineStr"/>
    </row>
    <row r="86" ht="86" customHeight="1">
      <c r="A86" s="16" t="inlineStr">
        <is>
          <t>CQT-03</t>
        </is>
      </c>
      <c r="B86" s="12" t="inlineStr">
        <is>
          <t>Cổng quản trị</t>
        </is>
      </c>
      <c r="C86" s="12" t="inlineStr">
        <is>
          <t>Bảng chỉ số hệ thống</t>
        </is>
      </c>
      <c r="D86" s="17" t="inlineStr">
        <is>
          <t>Quản trị viên</t>
        </is>
      </c>
      <c r="E86" s="18" t="inlineStr">
        <is>
          <t>Cao</t>
        </is>
      </c>
      <c r="F86" s="12" t="inlineStr">
        <is>
          <t>Đã vào cổng quản trị.</t>
        </is>
      </c>
      <c r="G86" s="12" t="inlineStr">
        <is>
          <t>1. Xem bảng chỉ số tổng quan
2. Đối chiếu số chuyến với số thẻ đang có ngoài 'Khám phá'</t>
        </is>
      </c>
      <c r="H86" s="12" t="inlineStr">
        <is>
          <t>-</t>
        </is>
      </c>
      <c r="I86" s="12" t="inlineStr">
        <is>
          <t>1-2. Số chuyến, số thành viên, số kết nối khớp với dữ liệu thật, không phải số cứng</t>
        </is>
      </c>
      <c r="J86" s="14" t="inlineStr"/>
      <c r="K86" s="13" t="inlineStr">
        <is>
          <t>Chưa test</t>
        </is>
      </c>
      <c r="L86" s="13" t="inlineStr"/>
      <c r="M86" s="13" t="inlineStr"/>
      <c r="N86" s="13" t="inlineStr"/>
      <c r="O86" s="19" t="n"/>
      <c r="P86" s="13" t="inlineStr"/>
    </row>
    <row r="87" ht="86" customHeight="1">
      <c r="A87" s="16" t="inlineStr">
        <is>
          <t>CQT-04</t>
        </is>
      </c>
      <c r="B87" s="12" t="inlineStr">
        <is>
          <t>Cổng quản trị</t>
        </is>
      </c>
      <c r="C87" s="12" t="inlineStr">
        <is>
          <t>Ẩn chuyến vi phạm</t>
        </is>
      </c>
      <c r="D87" s="17" t="inlineStr">
        <is>
          <t>Quản trị viên</t>
        </is>
      </c>
      <c r="E87" s="18" t="inlineStr">
        <is>
          <t>Cao</t>
        </is>
      </c>
      <c r="F87" s="12" t="inlineStr">
        <is>
          <t>Có 1 chuyến test cần ẩn.</t>
        </is>
      </c>
      <c r="G87" s="12" t="inlineStr">
        <is>
          <t>1. Vào danh sách chuyến trong cổng quản trị
2. Bấm ẩn 1 chuyến
3. Mở tab khách vãng lai, tìm chuyến đó
4. Bấm hiện lại</t>
        </is>
      </c>
      <c r="H87" s="12" t="inlineStr">
        <is>
          <t>-</t>
        </is>
      </c>
      <c r="I87" s="12" t="inlineStr">
        <is>
          <t>1-2. Ẩn thành công, trạng thái đổi ngay
3. Khách không còn thấy chuyến đó ngoài chợ chuyến
4. Hiện lại thì chuyến quay về bình thường</t>
        </is>
      </c>
      <c r="J87" s="14" t="inlineStr"/>
      <c r="K87" s="13" t="inlineStr">
        <is>
          <t>Chưa test</t>
        </is>
      </c>
      <c r="L87" s="13" t="inlineStr"/>
      <c r="M87" s="13" t="inlineStr"/>
      <c r="N87" s="13" t="inlineStr"/>
      <c r="O87" s="19" t="n"/>
      <c r="P87" s="13" t="inlineStr"/>
    </row>
    <row r="88" ht="86" customHeight="1">
      <c r="A88" s="16" t="inlineStr">
        <is>
          <t>CQT-05</t>
        </is>
      </c>
      <c r="B88" s="12" t="inlineStr">
        <is>
          <t>Cổng quản trị</t>
        </is>
      </c>
      <c r="C88" s="12" t="inlineStr">
        <is>
          <t>Xoá chuyến vi phạm</t>
        </is>
      </c>
      <c r="D88" s="17" t="inlineStr">
        <is>
          <t>Quản trị viên</t>
        </is>
      </c>
      <c r="E88" s="18" t="inlineStr">
        <is>
          <t>Cao</t>
        </is>
      </c>
      <c r="F88" s="12" t="inlineStr">
        <is>
          <t>Có 1 chuyến test cần xoá.</t>
        </is>
      </c>
      <c r="G88" s="12" t="inlineStr">
        <is>
          <t>1. Bấm xoá 1 chuyến
2. Xác nhận
3. Kiểm tra ở tài khoản chủ chuyến</t>
        </is>
      </c>
      <c r="H88" s="12" t="inlineStr">
        <is>
          <t>-</t>
        </is>
      </c>
      <c r="I88" s="12" t="inlineStr">
        <is>
          <t>1-2. Xoá thành công, biến mất khỏi danh sách quản trị
3. Chủ chuyến cũng không còn thấy chuyến đó</t>
        </is>
      </c>
      <c r="J88" s="14" t="inlineStr"/>
      <c r="K88" s="13" t="inlineStr">
        <is>
          <t>Chưa test</t>
        </is>
      </c>
      <c r="L88" s="13" t="inlineStr"/>
      <c r="M88" s="13" t="inlineStr"/>
      <c r="N88" s="13" t="inlineStr"/>
      <c r="O88" s="19" t="n"/>
      <c r="P88" s="13" t="inlineStr"/>
    </row>
    <row r="89" ht="86" customHeight="1">
      <c r="A89" s="16" t="inlineStr">
        <is>
          <t>CQT-06</t>
        </is>
      </c>
      <c r="B89" s="12" t="inlineStr">
        <is>
          <t>Cổng quản trị</t>
        </is>
      </c>
      <c r="C89" s="12" t="inlineStr">
        <is>
          <t>Chuyển loại xe biển vàng / biển trắng</t>
        </is>
      </c>
      <c r="D89" s="17" t="inlineStr">
        <is>
          <t>Quản trị viên</t>
        </is>
      </c>
      <c r="E89" s="17" t="inlineStr">
        <is>
          <t>TB</t>
        </is>
      </c>
      <c r="F89" s="12" t="inlineStr">
        <is>
          <t>Có chuyến bị báo sai loại xe.</t>
        </is>
      </c>
      <c r="G89" s="12" t="inlineStr">
        <is>
          <t>1. Mở chuyến bị báo cáo
2. Bấm chuyển loại xe
3. Xem thẻ chuyến ngoài 'Khám phá'</t>
        </is>
      </c>
      <c r="H89" s="12" t="inlineStr">
        <is>
          <t>-</t>
        </is>
      </c>
      <c r="I89" s="12" t="inlineStr">
        <is>
          <t>1-2. Chuyển thành công
3. Nhãn trên thẻ đổi đúng: 'Xe gia đình (Biển trắng)' hoặc 'Xe tiện chuyến (Biển vàng)'</t>
        </is>
      </c>
      <c r="J89" s="14" t="inlineStr"/>
      <c r="K89" s="13" t="inlineStr">
        <is>
          <t>Chưa test</t>
        </is>
      </c>
      <c r="L89" s="13" t="inlineStr"/>
      <c r="M89" s="13" t="inlineStr"/>
      <c r="N89" s="13" t="inlineStr"/>
      <c r="O89" s="19" t="n"/>
      <c r="P89" s="13" t="inlineStr"/>
    </row>
    <row r="90" ht="86" customHeight="1">
      <c r="A90" s="16" t="inlineStr">
        <is>
          <t>CQT-07</t>
        </is>
      </c>
      <c r="B90" s="12" t="inlineStr">
        <is>
          <t>Cổng quản trị</t>
        </is>
      </c>
      <c r="C90" s="12" t="inlineStr">
        <is>
          <t>Khoá / mở khoá thành viên</t>
        </is>
      </c>
      <c r="D90" s="17" t="inlineStr">
        <is>
          <t>Quản trị viên</t>
        </is>
      </c>
      <c r="E90" s="18" t="inlineStr">
        <is>
          <t>Cao</t>
        </is>
      </c>
      <c r="F90" s="12" t="inlineStr">
        <is>
          <t>Có 1 tài khoản test.</t>
        </is>
      </c>
      <c r="G90" s="12" t="inlineStr">
        <is>
          <t>1. Vào danh sách thành viên
2. Khoá tài khoản test
3. Đăng nhập bằng tài khoản đó, thử đăng chuyến
4. Mở khoá lại</t>
        </is>
      </c>
      <c r="H90" s="12" t="inlineStr">
        <is>
          <t>-</t>
        </is>
      </c>
      <c r="I90" s="12" t="inlineStr">
        <is>
          <t>1-2. Khoá thành công, trạng thái cập nhật ngay
3. Tài khoản bị khoá không đăng và không ghép chuyến được
4. Mở khoá thì dùng lại bình thường</t>
        </is>
      </c>
      <c r="J90" s="14" t="inlineStr"/>
      <c r="K90" s="13" t="inlineStr">
        <is>
          <t>Chưa test</t>
        </is>
      </c>
      <c r="L90" s="13" t="inlineStr"/>
      <c r="M90" s="13" t="inlineStr"/>
      <c r="N90" s="13" t="inlineStr"/>
      <c r="O90" s="19" t="n"/>
      <c r="P90" s="13" t="inlineStr"/>
    </row>
    <row r="91" ht="86" customHeight="1">
      <c r="A91" s="16" t="inlineStr">
        <is>
          <t>CQT-08</t>
        </is>
      </c>
      <c r="B91" s="12" t="inlineStr">
        <is>
          <t>Cổng quản trị</t>
        </is>
      </c>
      <c r="C91" s="12" t="inlineStr">
        <is>
          <t>Sửa quy tắc tính điểm tín nhiệm</t>
        </is>
      </c>
      <c r="D91" s="17" t="inlineStr">
        <is>
          <t>Quản trị viên</t>
        </is>
      </c>
      <c r="E91" s="18" t="inlineStr">
        <is>
          <t>Cao</t>
        </is>
      </c>
      <c r="F91" s="12" t="inlineStr">
        <is>
          <t>Đã vào mục quy tắc tín nhiệm.</t>
        </is>
      </c>
      <c r="G91" s="12" t="inlineStr">
        <is>
          <t>1. Đổi điểm của 1 tiêu chí không bị khoá
2. Lưu
3. Mở hộ chiếu tín nhiệm của 1 thành viên có tiêu chí đó</t>
        </is>
      </c>
      <c r="H91" s="12" t="inlineStr">
        <is>
          <t>Ảnh đại diện: 5 → 8 điểm</t>
        </is>
      </c>
      <c r="I91" s="12" t="inlineStr">
        <is>
          <t>1-2. Lưu thành công, có thông báo
3. Điểm tín nhiệm của thành viên được tính lại theo quy tắc mới</t>
        </is>
      </c>
      <c r="J91" s="14" t="inlineStr"/>
      <c r="K91" s="13" t="inlineStr">
        <is>
          <t>Chưa test</t>
        </is>
      </c>
      <c r="L91" s="13" t="inlineStr"/>
      <c r="M91" s="13" t="inlineStr"/>
      <c r="N91" s="13" t="inlineStr"/>
      <c r="O91" s="19" t="n"/>
      <c r="P91" s="13" t="inlineStr"/>
    </row>
    <row r="92" ht="86" customHeight="1">
      <c r="A92" s="16" t="inlineStr">
        <is>
          <t>CQT-09</t>
        </is>
      </c>
      <c r="B92" s="12" t="inlineStr">
        <is>
          <t>Cổng quản trị</t>
        </is>
      </c>
      <c r="C92" s="12" t="inlineStr">
        <is>
          <t>Không sửa được tiêu chí gốc</t>
        </is>
      </c>
      <c r="D92" s="17" t="inlineStr">
        <is>
          <t>Quản trị viên</t>
        </is>
      </c>
      <c r="E92" s="18" t="inlineStr">
        <is>
          <t>Cao</t>
        </is>
      </c>
      <c r="F92" s="12" t="inlineStr">
        <is>
          <t>Đang ở mục quy tắc tín nhiệm.</t>
        </is>
      </c>
      <c r="G92" s="12" t="inlineStr">
        <is>
          <t>1. Tìm tiêu chí xác thực OTP và tiêu chí khoá trần điểm khi thiếu ảnh
2. Thử sửa điểm hoặc xoá 2 tiêu chí này</t>
        </is>
      </c>
      <c r="H92" s="12" t="inlineStr">
        <is>
          <t>-</t>
        </is>
      </c>
      <c r="I92" s="12" t="inlineStr">
        <is>
          <t>1-2. Bị khoá, không cho sửa hay xoá; có nhãn ghi rõ đây là tiêu chí bất biến</t>
        </is>
      </c>
      <c r="J92" s="14" t="inlineStr"/>
      <c r="K92" s="13" t="inlineStr">
        <is>
          <t>Chưa test</t>
        </is>
      </c>
      <c r="L92" s="13" t="inlineStr"/>
      <c r="M92" s="13" t="inlineStr"/>
      <c r="N92" s="13" t="inlineStr"/>
      <c r="O92" s="19" t="n"/>
      <c r="P92" s="13" t="inlineStr"/>
    </row>
    <row r="93" ht="86" customHeight="1">
      <c r="A93" s="16" t="inlineStr">
        <is>
          <t>CQT-10</t>
        </is>
      </c>
      <c r="B93" s="12" t="inlineStr">
        <is>
          <t>Cổng quản trị</t>
        </is>
      </c>
      <c r="C93" s="12" t="inlineStr">
        <is>
          <t>Khôi phục quy tắc mặc định</t>
        </is>
      </c>
      <c r="D93" s="17" t="inlineStr">
        <is>
          <t>Quản trị viên</t>
        </is>
      </c>
      <c r="E93" s="17" t="inlineStr">
        <is>
          <t>TB</t>
        </is>
      </c>
      <c r="F93" s="12" t="inlineStr">
        <is>
          <t>Đã sửa vài tiêu chí.</t>
        </is>
      </c>
      <c r="G93" s="12" t="inlineStr">
        <is>
          <t>1. Bấm khôi phục mặc định
2. Xác nhận
3. Xem lại danh sách tiêu chí</t>
        </is>
      </c>
      <c r="H93" s="12" t="inlineStr">
        <is>
          <t>-</t>
        </is>
      </c>
      <c r="I93" s="12" t="inlineStr">
        <is>
          <t>1-3. Toàn bộ tiêu chí quay về bộ chuẩn ban đầu, các tiêu chí tự thêm bị gỡ bỏ</t>
        </is>
      </c>
      <c r="J93" s="14" t="inlineStr"/>
      <c r="K93" s="13" t="inlineStr">
        <is>
          <t>Chưa test</t>
        </is>
      </c>
      <c r="L93" s="13" t="inlineStr"/>
      <c r="M93" s="13" t="inlineStr"/>
      <c r="N93" s="13" t="inlineStr"/>
      <c r="O93" s="19" t="n"/>
      <c r="P93" s="13" t="inlineStr"/>
    </row>
    <row r="94" ht="86" customHeight="1">
      <c r="A94" s="16" t="inlineStr">
        <is>
          <t>CQT-11</t>
        </is>
      </c>
      <c r="B94" s="12" t="inlineStr">
        <is>
          <t>Cổng quản trị</t>
        </is>
      </c>
      <c r="C94" s="12" t="inlineStr">
        <is>
          <t>Bảng phễu chuyển đổi</t>
        </is>
      </c>
      <c r="D94" s="17" t="inlineStr">
        <is>
          <t>Quản trị viên</t>
        </is>
      </c>
      <c r="E94" s="17" t="inlineStr">
        <is>
          <t>TB</t>
        </is>
      </c>
      <c r="F94" s="12" t="inlineStr">
        <is>
          <t>Đã có lượt xem trang và ghép chuyến trong ngày.</t>
        </is>
      </c>
      <c r="G94" s="12" t="inlineStr">
        <is>
          <t>1. Mở mục phân tích / phễu
2. Đối chiếu các bước: Xem trang → Tìm tuyến → Xem chi tiết → Bắt đầu ghép</t>
        </is>
      </c>
      <c r="H94" s="12" t="inlineStr">
        <is>
          <t>-</t>
        </is>
      </c>
      <c r="I94" s="12" t="inlineStr">
        <is>
          <t>1-2. Số liệu từng bước hiển thị đúng thứ tự phễu, giảm dần hợp lý, không âm và không rỗng khi thực tế có phát sinh</t>
        </is>
      </c>
      <c r="J94" s="14" t="inlineStr"/>
      <c r="K94" s="13" t="inlineStr">
        <is>
          <t>Chưa test</t>
        </is>
      </c>
      <c r="L94" s="13" t="inlineStr"/>
      <c r="M94" s="13" t="inlineStr"/>
      <c r="N94" s="13" t="inlineStr"/>
      <c r="O94" s="19" t="n"/>
      <c r="P94" s="13" t="inlineStr"/>
    </row>
    <row r="95" ht="86" customHeight="1">
      <c r="A95" s="16" t="inlineStr">
        <is>
          <t>CQT-12</t>
        </is>
      </c>
      <c r="B95" s="12" t="inlineStr">
        <is>
          <t>Cổng quản trị</t>
        </is>
      </c>
      <c r="C95" s="12" t="inlineStr">
        <is>
          <t>Nhật ký trợ lý AI</t>
        </is>
      </c>
      <c r="D95" s="17" t="inlineStr">
        <is>
          <t>Quản trị viên</t>
        </is>
      </c>
      <c r="E95" s="17" t="inlineStr">
        <is>
          <t>TB</t>
        </is>
      </c>
      <c r="F95" s="12" t="inlineStr">
        <is>
          <t>Đã có vài lượt hỏi trợ lý AI.</t>
        </is>
      </c>
      <c r="G95" s="12" t="inlineStr">
        <is>
          <t>1. Mở mục AI / nhật ký hội thoại
2. Mở 1 phiên hội thoại</t>
        </is>
      </c>
      <c r="H95" s="12" t="inlineStr">
        <is>
          <t>-</t>
        </is>
      </c>
      <c r="I95" s="12" t="inlineStr">
        <is>
          <t>1-2. Thấy các lượt hỏi đáp gần đây kèm thời điểm; nội dung hiển thị không lộ số điện thoại thật của thành viên</t>
        </is>
      </c>
      <c r="J95" s="14" t="inlineStr"/>
      <c r="K95" s="13" t="inlineStr">
        <is>
          <t>Chưa test</t>
        </is>
      </c>
      <c r="L95" s="13" t="inlineStr"/>
      <c r="M95" s="13" t="inlineStr"/>
      <c r="N95" s="13" t="inlineStr"/>
      <c r="O95" s="19" t="n"/>
      <c r="P95" s="13" t="inlineStr"/>
    </row>
    <row r="96" ht="86" customHeight="1">
      <c r="A96" s="16" t="inlineStr">
        <is>
          <t>BMT-01</t>
        </is>
      </c>
      <c r="B96" s="12" t="inlineStr">
        <is>
          <t>Bảo mật (thao tác tay)</t>
        </is>
      </c>
      <c r="C96" s="12" t="inlineStr">
        <is>
          <t>Nhập mã độc vào ô ghi chú</t>
        </is>
      </c>
      <c r="D96" s="17" t="inlineStr">
        <is>
          <t>Người dùng thường</t>
        </is>
      </c>
      <c r="E96" s="18" t="inlineStr">
        <is>
          <t>Cao</t>
        </is>
      </c>
      <c r="F96" s="12" t="inlineStr">
        <is>
          <t>Đang ở form đăng chuyến.</t>
        </is>
      </c>
      <c r="G96" s="12" t="inlineStr">
        <is>
          <t>1. Dán đoạn mã vào ô 'Ghi chú' → đăng chuyến
2. Ra 'Khám phá' mở đúng chuyến đó
3. Mở lại chuyến bằng tài khoản khác</t>
        </is>
      </c>
      <c r="H96" s="12" t="inlineStr">
        <is>
          <t>&lt;script&gt;alert('XSS')&lt;/script&gt;</t>
        </is>
      </c>
      <c r="I96" s="12" t="inlineStr">
        <is>
          <t>1-3. Không có hộp thoại cảnh báo nào bật lên ở bất kỳ máy nào; nội dung hiện dưới dạng chữ vô hại hoặc bị lược bỏ, giao diện không vỡ</t>
        </is>
      </c>
      <c r="J96" s="14" t="inlineStr"/>
      <c r="K96" s="13" t="inlineStr">
        <is>
          <t>Chưa test</t>
        </is>
      </c>
      <c r="L96" s="13" t="inlineStr"/>
      <c r="M96" s="13" t="inlineStr"/>
      <c r="N96" s="13" t="inlineStr"/>
      <c r="O96" s="19" t="n"/>
      <c r="P96" s="13" t="inlineStr"/>
    </row>
    <row r="97" ht="86" customHeight="1">
      <c r="A97" s="16" t="inlineStr">
        <is>
          <t>BMT-02</t>
        </is>
      </c>
      <c r="B97" s="12" t="inlineStr">
        <is>
          <t>Bảo mật (thao tác tay)</t>
        </is>
      </c>
      <c r="C97" s="12" t="inlineStr">
        <is>
          <t>Nhập mã độc dạng ảnh lỗi</t>
        </is>
      </c>
      <c r="D97" s="17" t="inlineStr">
        <is>
          <t>Người dùng thường</t>
        </is>
      </c>
      <c r="E97" s="18" t="inlineStr">
        <is>
          <t>Cao</t>
        </is>
      </c>
      <c r="F97" s="12" t="inlineStr">
        <is>
          <t>Đang ở form đăng chuyến.</t>
        </is>
      </c>
      <c r="G97" s="12" t="inlineStr">
        <is>
          <t>1. Dán đoạn mã vào ô 'Ghi chú' → đăng
2. Xem chuyến vừa đăng</t>
        </is>
      </c>
      <c r="H97" s="12" t="inlineStr">
        <is>
          <t>&lt;img src=x onerror=alert(1)&gt;</t>
        </is>
      </c>
      <c r="I97" s="12" t="inlineStr">
        <is>
          <t>1-2. Không có cảnh báo bật lên, không chèn được ảnh lạ vào trang</t>
        </is>
      </c>
      <c r="J97" s="14" t="inlineStr"/>
      <c r="K97" s="13" t="inlineStr">
        <is>
          <t>Chưa test</t>
        </is>
      </c>
      <c r="L97" s="13" t="inlineStr"/>
      <c r="M97" s="13" t="inlineStr"/>
      <c r="N97" s="13" t="inlineStr"/>
      <c r="O97" s="19" t="n"/>
      <c r="P97" s="13" t="inlineStr"/>
    </row>
    <row r="98" ht="86" customHeight="1">
      <c r="A98" s="16" t="inlineStr">
        <is>
          <t>BMT-03</t>
        </is>
      </c>
      <c r="B98" s="12" t="inlineStr">
        <is>
          <t>Bảo mật (thao tác tay)</t>
        </is>
      </c>
      <c r="C98" s="12" t="inlineStr">
        <is>
          <t>Tên tiếng Việt có dấu nháy</t>
        </is>
      </c>
      <c r="D98" s="17" t="inlineStr">
        <is>
          <t>Người dùng thường</t>
        </is>
      </c>
      <c r="E98" s="17" t="inlineStr">
        <is>
          <t>TB</t>
        </is>
      </c>
      <c r="F98" s="12" t="inlineStr">
        <is>
          <t>Đang ở form đăng chuyến.</t>
        </is>
      </c>
      <c r="G98" s="12" t="inlineStr">
        <is>
          <t>1. Nhập ghi chú có dấu nháy kép và dấu tiếng Việt → đăng
2. Xem lại ngoài 'Khám phá'</t>
        </is>
      </c>
      <c r="H98" s="12" t="inlineStr">
        <is>
          <t>Đón ở "ngã ba" nhé</t>
        </is>
      </c>
      <c r="I98" s="12" t="inlineStr">
        <is>
          <t>1-2. Hiển thị đúng nguyên văn kể cả dấu nháy, KHÔNG hiện ra chuỗi lạ kiểu &amp;quot;</t>
        </is>
      </c>
      <c r="J98" s="14" t="inlineStr"/>
      <c r="K98" s="13" t="inlineStr">
        <is>
          <t>Chưa test</t>
        </is>
      </c>
      <c r="L98" s="13" t="inlineStr"/>
      <c r="M98" s="13" t="inlineStr"/>
      <c r="N98" s="13" t="inlineStr"/>
      <c r="O98" s="19" t="n"/>
      <c r="P98" s="13" t="inlineStr"/>
    </row>
    <row r="99" ht="86" customHeight="1">
      <c r="A99" s="16" t="inlineStr">
        <is>
          <t>BMT-04</t>
        </is>
      </c>
      <c r="B99" s="12" t="inlineStr">
        <is>
          <t>Bảo mật (thao tác tay)</t>
        </is>
      </c>
      <c r="C99" s="12" t="inlineStr">
        <is>
          <t>Sửa URL để xem chuyến người khác</t>
        </is>
      </c>
      <c r="D99" s="17" t="inlineStr">
        <is>
          <t>Người dùng thường</t>
        </is>
      </c>
      <c r="E99" s="18" t="inlineStr">
        <is>
          <t>Cao</t>
        </is>
      </c>
      <c r="F99" s="12" t="inlineStr">
        <is>
          <t>Biết mã kết nối của cặp người khác.</t>
        </is>
      </c>
      <c r="G99" s="12" t="inlineStr">
        <is>
          <t>1. Dán mã kết nối của cặp khác vào URL chuyến
2. Thử đổi vài ký tự trong mã để dò</t>
        </is>
      </c>
      <c r="H99" s="12" t="inlineStr">
        <is>
          <t>-</t>
        </is>
      </c>
      <c r="I99" s="12" t="inlineStr">
        <is>
          <t>1-2. Đều bị từ chối, không đọc được thông tin, không đoán mò ra chuyến của người khác</t>
        </is>
      </c>
      <c r="J99" s="14" t="inlineStr"/>
      <c r="K99" s="13" t="inlineStr">
        <is>
          <t>Chưa test</t>
        </is>
      </c>
      <c r="L99" s="13" t="inlineStr"/>
      <c r="M99" s="13" t="inlineStr"/>
      <c r="N99" s="13" t="inlineStr"/>
      <c r="O99" s="19" t="n"/>
      <c r="P99" s="13" t="inlineStr"/>
    </row>
    <row r="100" ht="86" customHeight="1">
      <c r="A100" s="16" t="inlineStr">
        <is>
          <t>BMT-05</t>
        </is>
      </c>
      <c r="B100" s="12" t="inlineStr">
        <is>
          <t>Bảo mật (thao tác tay)</t>
        </is>
      </c>
      <c r="C100" s="12" t="inlineStr">
        <is>
          <t>Bấm gửi liên tục nhiều lần</t>
        </is>
      </c>
      <c r="D100" s="17" t="inlineStr">
        <is>
          <t>Người dùng thường</t>
        </is>
      </c>
      <c r="E100" s="18" t="inlineStr">
        <is>
          <t>Cao</t>
        </is>
      </c>
      <c r="F100" s="12" t="inlineStr">
        <is>
          <t>Đang ở form đăng chuyến đã điền đủ.</t>
        </is>
      </c>
      <c r="G100" s="12" t="inlineStr">
        <is>
          <t>1. Bấm 'Đăng chuyến &amp; tạo thẻ chia sẻ' liên tục 5 lần thật nhanh
2. Xem 'Chuyến của tôi'</t>
        </is>
      </c>
      <c r="H100" s="12" t="inlineStr">
        <is>
          <t>-</t>
        </is>
      </c>
      <c r="I100" s="12" t="inlineStr">
        <is>
          <t>1. Nút bị khoá sau lần bấm đầu, có trạng thái đang xử lý
2. Chỉ tạo ra ĐÚNG 1 chuyến, không bị nhân bản</t>
        </is>
      </c>
      <c r="J100" s="14" t="inlineStr"/>
      <c r="K100" s="13" t="inlineStr">
        <is>
          <t>Chưa test</t>
        </is>
      </c>
      <c r="L100" s="13" t="inlineStr"/>
      <c r="M100" s="13" t="inlineStr"/>
      <c r="N100" s="13" t="inlineStr"/>
      <c r="O100" s="19" t="n"/>
      <c r="P100" s="13" t="inlineStr"/>
    </row>
    <row r="101" ht="86" customHeight="1">
      <c r="A101" s="16" t="inlineStr">
        <is>
          <t>BMT-06</t>
        </is>
      </c>
      <c r="B101" s="12" t="inlineStr">
        <is>
          <t>Bảo mật (thao tác tay)</t>
        </is>
      </c>
      <c r="C101" s="12" t="inlineStr">
        <is>
          <t>Mở lại link cũ sau khi đăng xuất</t>
        </is>
      </c>
      <c r="D101" s="17" t="inlineStr">
        <is>
          <t>Người dùng thường</t>
        </is>
      </c>
      <c r="E101" s="18" t="inlineStr">
        <is>
          <t>Cao</t>
        </is>
      </c>
      <c r="F101" s="12" t="inlineStr">
        <is>
          <t>Đã sao chép link 1 màn hình cần đăng nhập.</t>
        </is>
      </c>
      <c r="G101" s="12" t="inlineStr">
        <is>
          <t>1. Đăng xuất
2. Dán lại link đó vào trình duyệt</t>
        </is>
      </c>
      <c r="H101" s="12" t="inlineStr">
        <is>
          <t>-</t>
        </is>
      </c>
      <c r="I101" s="12" t="inlineStr">
        <is>
          <t>1-2. Bị đưa về trang khách hoặc yêu cầu đăng nhập, không xem được dữ liệu cá nhân của phiên cũ</t>
        </is>
      </c>
      <c r="J101" s="14" t="inlineStr"/>
      <c r="K101" s="13" t="inlineStr">
        <is>
          <t>Chưa test</t>
        </is>
      </c>
      <c r="L101" s="13" t="inlineStr"/>
      <c r="M101" s="13" t="inlineStr"/>
      <c r="N101" s="13" t="inlineStr"/>
      <c r="O101" s="19" t="n"/>
      <c r="P101" s="13" t="inlineStr"/>
    </row>
    <row r="102" ht="86" customHeight="1">
      <c r="A102" s="16" t="inlineStr">
        <is>
          <t>BMT-07</t>
        </is>
      </c>
      <c r="B102" s="12" t="inlineStr">
        <is>
          <t>Bảo mật (thao tác tay)</t>
        </is>
      </c>
      <c r="C102" s="12" t="inlineStr">
        <is>
          <t>Hai thiết bị cùng lúc</t>
        </is>
      </c>
      <c r="D102" s="17" t="inlineStr">
        <is>
          <t>Người dùng thường</t>
        </is>
      </c>
      <c r="E102" s="17" t="inlineStr">
        <is>
          <t>TB</t>
        </is>
      </c>
      <c r="F102" s="12" t="inlineStr">
        <is>
          <t>Đăng nhập cùng 1 tài khoản trên 2 trình duyệt.</t>
        </is>
      </c>
      <c r="G102" s="12" t="inlineStr">
        <is>
          <t>1. Ở máy 1 đăng 1 chuyến
2. Ở máy 2 tải lại 'Chuyến của tôi'
3. Ở máy 2 xoá chuyến đó, quay lại máy 1 tải lại</t>
        </is>
      </c>
      <c r="H102" s="12" t="inlineStr">
        <is>
          <t>-</t>
        </is>
      </c>
      <c r="I102" s="12" t="inlineStr">
        <is>
          <t>1-2. Máy 2 thấy chuyến mới
3. Máy 1 sau khi tải lại cũng không còn chuyến đã xoá; không có tình trạng dữ liệu lệch nhau</t>
        </is>
      </c>
      <c r="J102" s="14" t="inlineStr"/>
      <c r="K102" s="13" t="inlineStr">
        <is>
          <t>Chưa test</t>
        </is>
      </c>
      <c r="L102" s="13" t="inlineStr"/>
      <c r="M102" s="13" t="inlineStr"/>
      <c r="N102" s="13" t="inlineStr"/>
      <c r="O102" s="19" t="n"/>
      <c r="P102" s="13" t="inlineStr"/>
    </row>
    <row r="103" ht="86" customHeight="1">
      <c r="A103" s="16" t="inlineStr">
        <is>
          <t>BMT-08</t>
        </is>
      </c>
      <c r="B103" s="12" t="inlineStr">
        <is>
          <t>Bảo mật (thao tác tay)</t>
        </is>
      </c>
      <c r="C103" s="12" t="inlineStr">
        <is>
          <t>Ảnh xe không lộ biển số khi tải về</t>
        </is>
      </c>
      <c r="D103" s="17" t="inlineStr">
        <is>
          <t>Người dùng thường</t>
        </is>
      </c>
      <c r="E103" s="18" t="inlineStr">
        <is>
          <t>Cao</t>
        </is>
      </c>
      <c r="F103" s="12" t="inlineStr">
        <is>
          <t>Chuyến có ảnh xe.</t>
        </is>
      </c>
      <c r="G103" s="12" t="inlineStr">
        <is>
          <t>1. Tải ảnh xe từ chi tiết chuyến về máy
2. Mở bằng phần mềm xem ảnh, phóng to hết cỡ vào vùng biển số</t>
        </is>
      </c>
      <c r="H103" s="12" t="inlineStr">
        <is>
          <t>-</t>
        </is>
      </c>
      <c r="I103" s="12" t="inlineStr">
        <is>
          <t>1-2. Vùng biển số bị vỡ hạt hoàn toàn, không đọc được ký tự nào — kể cả khi phóng to trên file gốc đã tải</t>
        </is>
      </c>
      <c r="J103" s="14" t="inlineStr"/>
      <c r="K103" s="13" t="inlineStr">
        <is>
          <t>Chưa test</t>
        </is>
      </c>
      <c r="L103" s="13" t="inlineStr"/>
      <c r="M103" s="13" t="inlineStr"/>
      <c r="N103" s="13" t="inlineStr"/>
      <c r="O103" s="19" t="n"/>
      <c r="P103" s="13" t="inlineStr"/>
    </row>
    <row r="104" ht="86" customHeight="1">
      <c r="A104" s="16" t="inlineStr">
        <is>
          <t>GDT-01</t>
        </is>
      </c>
      <c r="B104" s="12" t="inlineStr">
        <is>
          <t>Giao diện &amp; Thiết bị</t>
        </is>
      </c>
      <c r="C104" s="12" t="inlineStr">
        <is>
          <t>Điều hướng bằng địa chỉ URL</t>
        </is>
      </c>
      <c r="D104" s="17" t="inlineStr">
        <is>
          <t>Người dùng thường</t>
        </is>
      </c>
      <c r="E104" s="18" t="inlineStr">
        <is>
          <t>Cao</t>
        </is>
      </c>
      <c r="F104" s="12" t="inlineStr">
        <is>
          <t>-</t>
        </is>
      </c>
      <c r="G104" s="12" t="inlineStr">
        <is>
          <t>1. Gõ lần lượt /market, /match, /post, /my-trips, /booked
2. Gõ 1 đường dẫn sai như /abcxyz</t>
        </is>
      </c>
      <c r="H104" s="12" t="inlineStr">
        <is>
          <t>-</t>
        </is>
      </c>
      <c r="I104" s="12" t="inlineStr">
        <is>
          <t>1. Mỗi địa chỉ mở đúng màn hình tương ứng, địa chỉ sạch không có dấu #
2. Đường dẫn sai đưa về màn hình mặc định an toàn, không lỗi trắng trang</t>
        </is>
      </c>
      <c r="J104" s="14" t="inlineStr"/>
      <c r="K104" s="13" t="inlineStr">
        <is>
          <t>Chưa test</t>
        </is>
      </c>
      <c r="L104" s="13" t="inlineStr"/>
      <c r="M104" s="13" t="inlineStr"/>
      <c r="N104" s="13" t="inlineStr"/>
      <c r="O104" s="19" t="n"/>
      <c r="P104" s="13" t="inlineStr"/>
    </row>
    <row r="105" ht="86" customHeight="1">
      <c r="A105" s="16" t="inlineStr">
        <is>
          <t>GDT-02</t>
        </is>
      </c>
      <c r="B105" s="12" t="inlineStr">
        <is>
          <t>Giao diện &amp; Thiết bị</t>
        </is>
      </c>
      <c r="C105" s="12" t="inlineStr">
        <is>
          <t>Giữ nguyên màn hình khi F5</t>
        </is>
      </c>
      <c r="D105" s="17" t="inlineStr">
        <is>
          <t>Người dùng thường</t>
        </is>
      </c>
      <c r="E105" s="18" t="inlineStr">
        <is>
          <t>Cao</t>
        </is>
      </c>
      <c r="F105" s="12" t="inlineStr">
        <is>
          <t>Đang ở tab 'Chuyến của tôi'.</t>
        </is>
      </c>
      <c r="G105" s="12" t="inlineStr">
        <is>
          <t>1. Nhấn F5
2. Bấm nút Back của trình duyệt
3. Bấm nút Forward</t>
        </is>
      </c>
      <c r="H105" s="12" t="inlineStr">
        <is>
          <t>-</t>
        </is>
      </c>
      <c r="I105" s="12" t="inlineStr">
        <is>
          <t>1. Vẫn ở 'Chuyến của tôi', không văng về trang chủ
2-3. Back / Forward chuyển đúng thứ tự các màn đã xem</t>
        </is>
      </c>
      <c r="J105" s="14" t="inlineStr"/>
      <c r="K105" s="13" t="inlineStr">
        <is>
          <t>Chưa test</t>
        </is>
      </c>
      <c r="L105" s="13" t="inlineStr"/>
      <c r="M105" s="13" t="inlineStr"/>
      <c r="N105" s="13" t="inlineStr"/>
      <c r="O105" s="19" t="n"/>
      <c r="P105" s="13" t="inlineStr"/>
    </row>
    <row r="106" ht="86" customHeight="1">
      <c r="A106" s="16" t="inlineStr">
        <is>
          <t>GDT-03</t>
        </is>
      </c>
      <c r="B106" s="12" t="inlineStr">
        <is>
          <t>Giao diện &amp; Thiết bị</t>
        </is>
      </c>
      <c r="C106" s="12" t="inlineStr">
        <is>
          <t>Thanh điều hướng dưới trên mobile</t>
        </is>
      </c>
      <c r="D106" s="17" t="inlineStr">
        <is>
          <t>Người dùng thường</t>
        </is>
      </c>
      <c r="E106" s="18" t="inlineStr">
        <is>
          <t>Cao</t>
        </is>
      </c>
      <c r="F106" s="12" t="inlineStr">
        <is>
          <t>Mở bằng điện thoại hoặc thu nhỏ cửa sổ xuống 375px.</t>
        </is>
      </c>
      <c r="G106" s="12" t="inlineStr">
        <is>
          <t>1. Bấm lần lượt: Khám phá, Ghép chuyến, Tôi đăng, Đã hẹn
2. Bấm nút tròn xanh ở giữa</t>
        </is>
      </c>
      <c r="H106" s="12" t="inlineStr">
        <is>
          <t>-</t>
        </is>
      </c>
      <c r="I106" s="12" t="inlineStr">
        <is>
          <t>1. Chuyển đúng màn, mục đang chọn được tô sáng rõ, có số đếm trên các mục có dữ liệu
2. Nút tròn mở đúng cửa sổ chọn loại bài đăng</t>
        </is>
      </c>
      <c r="J106" s="14" t="inlineStr"/>
      <c r="K106" s="13" t="inlineStr">
        <is>
          <t>Chưa test</t>
        </is>
      </c>
      <c r="L106" s="13" t="inlineStr"/>
      <c r="M106" s="13" t="inlineStr"/>
      <c r="N106" s="13" t="inlineStr"/>
      <c r="O106" s="19" t="n"/>
      <c r="P106" s="13" t="inlineStr"/>
    </row>
    <row r="107" ht="86" customHeight="1">
      <c r="A107" s="16" t="inlineStr">
        <is>
          <t>GDT-04</t>
        </is>
      </c>
      <c r="B107" s="12" t="inlineStr">
        <is>
          <t>Giao diện &amp; Thiết bị</t>
        </is>
      </c>
      <c r="C107" s="12" t="inlineStr">
        <is>
          <t>Vùng chạm và tràn ngang trên mobile</t>
        </is>
      </c>
      <c r="D107" s="17" t="inlineStr">
        <is>
          <t>Người dùng thường</t>
        </is>
      </c>
      <c r="E107" s="18" t="inlineStr">
        <is>
          <t>Cao</t>
        </is>
      </c>
      <c r="F107" s="12" t="inlineStr">
        <is>
          <t>Mở bằng điện thoại thật (375px).</t>
        </is>
      </c>
      <c r="G107" s="12" t="inlineStr">
        <is>
          <t>1. Duyệt qua tất cả màn hình chính
2. Thử chạm từng nút bằng ngón cái
3. Vuốt ngang màn hình ở mỗi màn</t>
        </is>
      </c>
      <c r="H107" s="12" t="inlineStr">
        <is>
          <t>-</t>
        </is>
      </c>
      <c r="I107" s="12" t="inlineStr">
        <is>
          <t>1-2. Nút đủ lớn để chạm chính xác, không phải phóng to; chữ không bị cắt hay xuống dòng lộn xộn
3. Không màn nào bị cuộn ngang; bảng/thẻ rộng thì tự cuộn trong khung riêng</t>
        </is>
      </c>
      <c r="J107" s="14" t="inlineStr"/>
      <c r="K107" s="13" t="inlineStr">
        <is>
          <t>Chưa test</t>
        </is>
      </c>
      <c r="L107" s="13" t="inlineStr"/>
      <c r="M107" s="13" t="inlineStr"/>
      <c r="N107" s="13" t="inlineStr"/>
      <c r="O107" s="19" t="n"/>
      <c r="P107" s="13" t="inlineStr"/>
    </row>
    <row r="108" ht="86" customHeight="1">
      <c r="A108" s="16" t="inlineStr">
        <is>
          <t>GDT-05</t>
        </is>
      </c>
      <c r="B108" s="12" t="inlineStr">
        <is>
          <t>Giao diện &amp; Thiết bị</t>
        </is>
      </c>
      <c r="C108" s="12" t="inlineStr">
        <is>
          <t>Kiểm tra trên Safari iPhone</t>
        </is>
      </c>
      <c r="D108" s="17" t="inlineStr">
        <is>
          <t>Người dùng thường</t>
        </is>
      </c>
      <c r="E108" s="18" t="inlineStr">
        <is>
          <t>Cao</t>
        </is>
      </c>
      <c r="F108" s="12" t="inlineStr">
        <is>
          <t>Có iPhone thật.</t>
        </is>
      </c>
      <c r="G108" s="12" t="inlineStr">
        <is>
          <t>1. Mở app trên Safari iOS
2. Thực hiện luồng: tìm chuyến → ghép chuyến → nhắn Zalo
3. Xoay ngang màn hình</t>
        </is>
      </c>
      <c r="H108" s="12" t="inlineStr">
        <is>
          <t>-</t>
        </is>
      </c>
      <c r="I108" s="12" t="inlineStr">
        <is>
          <t>1-2. Chạy đủ luồng không lỗi, mở Zalo được từ Safari
3. Xoay ngang bố cục vẫn đúng, không che nội dung bởi tai thỏ hay thanh dưới</t>
        </is>
      </c>
      <c r="J108" s="14" t="inlineStr"/>
      <c r="K108" s="13" t="inlineStr">
        <is>
          <t>Chưa test</t>
        </is>
      </c>
      <c r="L108" s="13" t="inlineStr"/>
      <c r="M108" s="13" t="inlineStr"/>
      <c r="N108" s="13" t="inlineStr"/>
      <c r="O108" s="19" t="n"/>
      <c r="P108" s="13" t="inlineStr"/>
    </row>
    <row r="109" ht="86" customHeight="1">
      <c r="A109" s="16" t="inlineStr">
        <is>
          <t>GDT-06</t>
        </is>
      </c>
      <c r="B109" s="12" t="inlineStr">
        <is>
          <t>Giao diện &amp; Thiết bị</t>
        </is>
      </c>
      <c r="C109" s="12" t="inlineStr">
        <is>
          <t>Kiểm tra trên Chrome Android</t>
        </is>
      </c>
      <c r="D109" s="17" t="inlineStr">
        <is>
          <t>Người dùng thường</t>
        </is>
      </c>
      <c r="E109" s="18" t="inlineStr">
        <is>
          <t>Cao</t>
        </is>
      </c>
      <c r="F109" s="12" t="inlineStr">
        <is>
          <t>Có máy Android thật.</t>
        </is>
      </c>
      <c r="G109" s="12" t="inlineStr">
        <is>
          <t>1. Mở app trên Chrome Android
2. Thực hiện luồng: đăng chuyến có ảnh xe → chia sẻ thẻ vé</t>
        </is>
      </c>
      <c r="H109" s="12" t="inlineStr">
        <is>
          <t>-</t>
        </is>
      </c>
      <c r="I109" s="12" t="inlineStr">
        <is>
          <t>1-2. Chọn ảnh từ máy được, che biển số hoạt động, tải và chia sẻ thẻ vé bình thường</t>
        </is>
      </c>
      <c r="J109" s="14" t="inlineStr"/>
      <c r="K109" s="13" t="inlineStr">
        <is>
          <t>Chưa test</t>
        </is>
      </c>
      <c r="L109" s="13" t="inlineStr"/>
      <c r="M109" s="13" t="inlineStr"/>
      <c r="N109" s="13" t="inlineStr"/>
      <c r="O109" s="19" t="n"/>
      <c r="P109" s="13" t="inlineStr"/>
    </row>
    <row r="110" ht="86" customHeight="1">
      <c r="A110" s="16" t="inlineStr">
        <is>
          <t>GDT-07</t>
        </is>
      </c>
      <c r="B110" s="12" t="inlineStr">
        <is>
          <t>Giao diện &amp; Thiết bị</t>
        </is>
      </c>
      <c r="C110" s="12" t="inlineStr">
        <is>
          <t>Cài đặt PWA</t>
        </is>
      </c>
      <c r="D110" s="17" t="inlineStr">
        <is>
          <t>Người dùng thường</t>
        </is>
      </c>
      <c r="E110" s="17" t="inlineStr">
        <is>
          <t>TB</t>
        </is>
      </c>
      <c r="F110" s="12" t="inlineStr">
        <is>
          <t>Trình duyệt hỗ trợ cài đặt ứng dụng.</t>
        </is>
      </c>
      <c r="G110" s="12" t="inlineStr">
        <is>
          <t>1. Bấm lời mời cài đặt ứng dụng
2. Mở app vừa cài từ màn hình chính
3. Dùng thử 1 luồng ngắn</t>
        </is>
      </c>
      <c r="H110" s="12" t="inlineStr">
        <is>
          <t>-</t>
        </is>
      </c>
      <c r="I110" s="12" t="inlineStr">
        <is>
          <t>1-2. Cài đặt xong, biểu tượng và tên hiển thị đúng CarMate
3. Mở lên chạy như app riêng, không hiện thanh địa chỉ trình duyệt</t>
        </is>
      </c>
      <c r="J110" s="14" t="inlineStr"/>
      <c r="K110" s="13" t="inlineStr">
        <is>
          <t>Chưa test</t>
        </is>
      </c>
      <c r="L110" s="13" t="inlineStr"/>
      <c r="M110" s="13" t="inlineStr"/>
      <c r="N110" s="13" t="inlineStr"/>
      <c r="O110" s="19" t="n"/>
      <c r="P110" s="13" t="inlineStr"/>
    </row>
    <row r="111" ht="86" customHeight="1">
      <c r="A111" s="16" t="inlineStr">
        <is>
          <t>GDT-08</t>
        </is>
      </c>
      <c r="B111" s="12" t="inlineStr">
        <is>
          <t>Giao diện &amp; Thiết bị</t>
        </is>
      </c>
      <c r="C111" s="12" t="inlineStr">
        <is>
          <t>Mất mạng giữa chừng</t>
        </is>
      </c>
      <c r="D111" s="17" t="inlineStr">
        <is>
          <t>Người dùng thường</t>
        </is>
      </c>
      <c r="E111" s="17" t="inlineStr">
        <is>
          <t>TB</t>
        </is>
      </c>
      <c r="F111" s="12" t="inlineStr">
        <is>
          <t>Đang mở app.</t>
        </is>
      </c>
      <c r="G111" s="12" t="inlineStr">
        <is>
          <t>1. Tắt mạng
2. Bấm chuyển tab và thử đăng 1 chuyến
3. Bật mạng lại và thử lại</t>
        </is>
      </c>
      <c r="H111" s="12" t="inlineStr">
        <is>
          <t>-</t>
        </is>
      </c>
      <c r="I111" s="12" t="inlineStr">
        <is>
          <t>1-2. Có thông báo lỗi mạng rõ ràng, không đứng hình hay trắng trang
3. Bật mạng lại thao tác được bình thường</t>
        </is>
      </c>
      <c r="J111" s="14" t="inlineStr"/>
      <c r="K111" s="13" t="inlineStr">
        <is>
          <t>Chưa test</t>
        </is>
      </c>
      <c r="L111" s="13" t="inlineStr"/>
      <c r="M111" s="13" t="inlineStr"/>
      <c r="N111" s="13" t="inlineStr"/>
      <c r="O111" s="19" t="n"/>
      <c r="P111" s="13" t="inlineStr"/>
    </row>
    <row r="112" ht="86" customHeight="1">
      <c r="A112" s="16" t="inlineStr">
        <is>
          <t>GDT-09</t>
        </is>
      </c>
      <c r="B112" s="12" t="inlineStr">
        <is>
          <t>Giao diện &amp; Thiết bị</t>
        </is>
      </c>
      <c r="C112" s="12" t="inlineStr">
        <is>
          <t>Không có màn hình trắng khi lỗi</t>
        </is>
      </c>
      <c r="D112" s="17" t="inlineStr">
        <is>
          <t>Người dùng thường</t>
        </is>
      </c>
      <c r="E112" s="18" t="inlineStr">
        <is>
          <t>Cao</t>
        </is>
      </c>
      <c r="F112" s="12" t="inlineStr">
        <is>
          <t>-</t>
        </is>
      </c>
      <c r="G112" s="12" t="inlineStr">
        <is>
          <t>1. Duyệt nhanh qua tất cả tab, mở/đóng liên tục các cửa sổ 10 lần
2. Mở Console trình duyệt (F12) xem lỗi</t>
        </is>
      </c>
      <c r="H112" s="12" t="inlineStr">
        <is>
          <t>-</t>
        </is>
      </c>
      <c r="I112" s="12" t="inlineStr">
        <is>
          <t>1. Không lần nào bị trắng trang; nếu có lỗi thì hiện màn báo lỗi thân thiện kèm nút thử lại
2. Console không có lỗi đỏ nghiêm trọng</t>
        </is>
      </c>
      <c r="J112" s="14" t="inlineStr"/>
      <c r="K112" s="13" t="inlineStr">
        <is>
          <t>Chưa test</t>
        </is>
      </c>
      <c r="L112" s="13" t="inlineStr"/>
      <c r="M112" s="13" t="inlineStr"/>
      <c r="N112" s="13" t="inlineStr"/>
      <c r="O112" s="19" t="n"/>
      <c r="P112" s="13" t="inlineStr"/>
    </row>
    <row r="113" ht="86" customHeight="1">
      <c r="A113" s="16" t="inlineStr">
        <is>
          <t>GDT-10</t>
        </is>
      </c>
      <c r="B113" s="12" t="inlineStr">
        <is>
          <t>Giao diện &amp; Thiết bị</t>
        </is>
      </c>
      <c r="C113" s="12" t="inlineStr">
        <is>
          <t>Rà soát chữ nghĩa toàn giao diện</t>
        </is>
      </c>
      <c r="D113" s="17" t="inlineStr">
        <is>
          <t>Người dùng thường</t>
        </is>
      </c>
      <c r="E113" s="17" t="inlineStr">
        <is>
          <t>Thấp</t>
        </is>
      </c>
      <c r="F113" s="12" t="inlineStr">
        <is>
          <t>-</t>
        </is>
      </c>
      <c r="G113" s="12" t="inlineStr">
        <is>
          <t>1. Duyệt qua từng màn hình, đọc kỹ nhãn nút và tiêu đề
2. Ghi lại chỗ sai chính tả, viết hoa lộn xộn hoặc lặp từ</t>
        </is>
      </c>
      <c r="H113" s="12" t="inlineStr">
        <is>
          <t>-</t>
        </is>
      </c>
      <c r="I113" s="12" t="inlineStr">
        <is>
          <t>1-2. Chữ ngắn gọn, thống nhất cách gọi 'Chủ xe' / 'Người đi cùng', không nhãn IN HOA thừa, không sai chính tả tiếng Việt</t>
        </is>
      </c>
      <c r="J113" s="14" t="inlineStr"/>
      <c r="K113" s="13" t="inlineStr">
        <is>
          <t>Chưa test</t>
        </is>
      </c>
      <c r="L113" s="13" t="inlineStr"/>
      <c r="M113" s="13" t="inlineStr"/>
      <c r="N113" s="13" t="inlineStr"/>
      <c r="O113" s="19" t="n"/>
      <c r="P113" s="13" t="inlineStr"/>
    </row>
  </sheetData>
  <autoFilter ref="A1:P113"/>
  <conditionalFormatting sqref="K2:K11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"Chưa test"</formula>
    </cfRule>
  </conditionalFormatting>
  <dataValidations count="1">
    <dataValidation sqref="K2:K113" showDropDown="0" showInputMessage="0" showErrorMessage="0" allowBlank="1" errorTitle="Giá trị không hợp lệ" error="Chỉ chọn: Pass / Fail / Blocked / N/A / Chưa test" type="list">
      <formula1>"Pass,Fail,Blocked,N/A,Chưa test"</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34" customWidth="1" min="8" max="8"/>
  </cols>
  <sheetData>
    <row r="1">
      <c r="A1" s="11" t="inlineStr">
        <is>
          <t>Luồng chính</t>
        </is>
      </c>
      <c r="B1" s="11" t="inlineStr">
        <is>
          <t>Chrome / Windows</t>
        </is>
      </c>
      <c r="C1" s="11" t="inlineStr">
        <is>
          <t>Chrome / macOS</t>
        </is>
      </c>
      <c r="D1" s="11" t="inlineStr">
        <is>
          <t>Safari / macOS</t>
        </is>
      </c>
      <c r="E1" s="11" t="inlineStr">
        <is>
          <t>Safari / iPhone</t>
        </is>
      </c>
      <c r="F1" s="11" t="inlineStr">
        <is>
          <t>Chrome / Android</t>
        </is>
      </c>
      <c r="G1" s="11" t="inlineStr">
        <is>
          <t>Safari / iPad</t>
        </is>
      </c>
      <c r="H1" s="11" t="inlineStr">
        <is>
          <t>Ghi chú</t>
        </is>
      </c>
    </row>
    <row r="2" ht="26" customHeight="1">
      <c r="A2" s="12" t="inlineStr">
        <is>
          <t>Mở trang chủ &amp; xem danh sách chuyến</t>
        </is>
      </c>
      <c r="B2" s="13" t="inlineStr">
        <is>
          <t>Chưa test</t>
        </is>
      </c>
      <c r="C2" s="13" t="inlineStr">
        <is>
          <t>Chưa test</t>
        </is>
      </c>
      <c r="D2" s="13" t="inlineStr">
        <is>
          <t>Chưa test</t>
        </is>
      </c>
      <c r="E2" s="13" t="inlineStr">
        <is>
          <t>Chưa test</t>
        </is>
      </c>
      <c r="F2" s="13" t="inlineStr">
        <is>
          <t>Chưa test</t>
        </is>
      </c>
      <c r="G2" s="13" t="inlineStr">
        <is>
          <t>Chưa test</t>
        </is>
      </c>
      <c r="H2" s="14" t="inlineStr"/>
    </row>
    <row r="3" ht="26" customHeight="1">
      <c r="A3" s="12" t="inlineStr">
        <is>
          <t>Lọc tuyến, khung giờ, tìm kiếm</t>
        </is>
      </c>
      <c r="B3" s="13" t="inlineStr">
        <is>
          <t>Chưa test</t>
        </is>
      </c>
      <c r="C3" s="13" t="inlineStr">
        <is>
          <t>Chưa test</t>
        </is>
      </c>
      <c r="D3" s="13" t="inlineStr">
        <is>
          <t>Chưa test</t>
        </is>
      </c>
      <c r="E3" s="13" t="inlineStr">
        <is>
          <t>Chưa test</t>
        </is>
      </c>
      <c r="F3" s="13" t="inlineStr">
        <is>
          <t>Chưa test</t>
        </is>
      </c>
      <c r="G3" s="13" t="inlineStr">
        <is>
          <t>Chưa test</t>
        </is>
      </c>
      <c r="H3" s="14" t="inlineStr"/>
    </row>
    <row r="4" ht="26" customHeight="1">
      <c r="A4" s="12" t="inlineStr">
        <is>
          <t>Đăng nhập (OTP / Zalo / Google)</t>
        </is>
      </c>
      <c r="B4" s="13" t="inlineStr">
        <is>
          <t>Chưa test</t>
        </is>
      </c>
      <c r="C4" s="13" t="inlineStr">
        <is>
          <t>Chưa test</t>
        </is>
      </c>
      <c r="D4" s="13" t="inlineStr">
        <is>
          <t>Chưa test</t>
        </is>
      </c>
      <c r="E4" s="13" t="inlineStr">
        <is>
          <t>Chưa test</t>
        </is>
      </c>
      <c r="F4" s="13" t="inlineStr">
        <is>
          <t>Chưa test</t>
        </is>
      </c>
      <c r="G4" s="13" t="inlineStr">
        <is>
          <t>Chưa test</t>
        </is>
      </c>
      <c r="H4" s="14" t="inlineStr"/>
    </row>
    <row r="5" ht="26" customHeight="1">
      <c r="A5" s="12" t="inlineStr">
        <is>
          <t>Đăng chuyến kèm ảnh xe &amp; che biển số</t>
        </is>
      </c>
      <c r="B5" s="13" t="inlineStr">
        <is>
          <t>Chưa test</t>
        </is>
      </c>
      <c r="C5" s="13" t="inlineStr">
        <is>
          <t>Chưa test</t>
        </is>
      </c>
      <c r="D5" s="13" t="inlineStr">
        <is>
          <t>Chưa test</t>
        </is>
      </c>
      <c r="E5" s="13" t="inlineStr">
        <is>
          <t>Chưa test</t>
        </is>
      </c>
      <c r="F5" s="13" t="inlineStr">
        <is>
          <t>Chưa test</t>
        </is>
      </c>
      <c r="G5" s="13" t="inlineStr">
        <is>
          <t>Chưa test</t>
        </is>
      </c>
      <c r="H5" s="14" t="inlineStr"/>
    </row>
    <row r="6" ht="26" customHeight="1">
      <c r="A6" s="12" t="inlineStr">
        <is>
          <t>Ghép chuyến và chốt 2 chiều</t>
        </is>
      </c>
      <c r="B6" s="13" t="inlineStr">
        <is>
          <t>Chưa test</t>
        </is>
      </c>
      <c r="C6" s="13" t="inlineStr">
        <is>
          <t>Chưa test</t>
        </is>
      </c>
      <c r="D6" s="13" t="inlineStr">
        <is>
          <t>Chưa test</t>
        </is>
      </c>
      <c r="E6" s="13" t="inlineStr">
        <is>
          <t>Chưa test</t>
        </is>
      </c>
      <c r="F6" s="13" t="inlineStr">
        <is>
          <t>Chưa test</t>
        </is>
      </c>
      <c r="G6" s="13" t="inlineStr">
        <is>
          <t>Chưa test</t>
        </is>
      </c>
      <c r="H6" s="14" t="inlineStr"/>
    </row>
    <row r="7" ht="26" customHeight="1">
      <c r="A7" s="12" t="inlineStr">
        <is>
          <t>Nhắn Zalo &amp; Gọi ngay sau khi chốt</t>
        </is>
      </c>
      <c r="B7" s="13" t="inlineStr">
        <is>
          <t>Chưa test</t>
        </is>
      </c>
      <c r="C7" s="13" t="inlineStr">
        <is>
          <t>Chưa test</t>
        </is>
      </c>
      <c r="D7" s="13" t="inlineStr">
        <is>
          <t>Chưa test</t>
        </is>
      </c>
      <c r="E7" s="13" t="inlineStr">
        <is>
          <t>Chưa test</t>
        </is>
      </c>
      <c r="F7" s="13" t="inlineStr">
        <is>
          <t>Chưa test</t>
        </is>
      </c>
      <c r="G7" s="13" t="inlineStr">
        <is>
          <t>Chưa test</t>
        </is>
      </c>
      <c r="H7" s="14" t="inlineStr"/>
    </row>
    <row r="8" ht="26" customHeight="1">
      <c r="A8" s="12" t="inlineStr">
        <is>
          <t>Tải và chia sẻ thẻ vé chuyến đi</t>
        </is>
      </c>
      <c r="B8" s="13" t="inlineStr">
        <is>
          <t>Chưa test</t>
        </is>
      </c>
      <c r="C8" s="13" t="inlineStr">
        <is>
          <t>Chưa test</t>
        </is>
      </c>
      <c r="D8" s="13" t="inlineStr">
        <is>
          <t>Chưa test</t>
        </is>
      </c>
      <c r="E8" s="13" t="inlineStr">
        <is>
          <t>Chưa test</t>
        </is>
      </c>
      <c r="F8" s="13" t="inlineStr">
        <is>
          <t>Chưa test</t>
        </is>
      </c>
      <c r="G8" s="13" t="inlineStr">
        <is>
          <t>Chưa test</t>
        </is>
      </c>
      <c r="H8" s="14" t="inlineStr"/>
    </row>
    <row r="9" ht="26" customHeight="1">
      <c r="A9" s="12" t="inlineStr">
        <is>
          <t>Chuyến của tôi: sửa, tái đăng, xoá</t>
        </is>
      </c>
      <c r="B9" s="13" t="inlineStr">
        <is>
          <t>Chưa test</t>
        </is>
      </c>
      <c r="C9" s="13" t="inlineStr">
        <is>
          <t>Chưa test</t>
        </is>
      </c>
      <c r="D9" s="13" t="inlineStr">
        <is>
          <t>Chưa test</t>
        </is>
      </c>
      <c r="E9" s="13" t="inlineStr">
        <is>
          <t>Chưa test</t>
        </is>
      </c>
      <c r="F9" s="13" t="inlineStr">
        <is>
          <t>Chưa test</t>
        </is>
      </c>
      <c r="G9" s="13" t="inlineStr">
        <is>
          <t>Chưa test</t>
        </is>
      </c>
      <c r="H9" s="14" t="inlineStr"/>
    </row>
    <row r="10" ht="26" customHeight="1">
      <c r="A10" s="12" t="inlineStr">
        <is>
          <t>Trợ lý AI</t>
        </is>
      </c>
      <c r="B10" s="13" t="inlineStr">
        <is>
          <t>Chưa test</t>
        </is>
      </c>
      <c r="C10" s="13" t="inlineStr">
        <is>
          <t>Chưa test</t>
        </is>
      </c>
      <c r="D10" s="13" t="inlineStr">
        <is>
          <t>Chưa test</t>
        </is>
      </c>
      <c r="E10" s="13" t="inlineStr">
        <is>
          <t>Chưa test</t>
        </is>
      </c>
      <c r="F10" s="13" t="inlineStr">
        <is>
          <t>Chưa test</t>
        </is>
      </c>
      <c r="G10" s="13" t="inlineStr">
        <is>
          <t>Chưa test</t>
        </is>
      </c>
      <c r="H10" s="14" t="inlineStr"/>
    </row>
    <row r="11" ht="26" customHeight="1">
      <c r="A11" s="12" t="inlineStr">
        <is>
          <t>Chế độ tối &amp; đổi ngôn ngữ</t>
        </is>
      </c>
      <c r="B11" s="13" t="inlineStr">
        <is>
          <t>Chưa test</t>
        </is>
      </c>
      <c r="C11" s="13" t="inlineStr">
        <is>
          <t>Chưa test</t>
        </is>
      </c>
      <c r="D11" s="13" t="inlineStr">
        <is>
          <t>Chưa test</t>
        </is>
      </c>
      <c r="E11" s="13" t="inlineStr">
        <is>
          <t>Chưa test</t>
        </is>
      </c>
      <c r="F11" s="13" t="inlineStr">
        <is>
          <t>Chưa test</t>
        </is>
      </c>
      <c r="G11" s="13" t="inlineStr">
        <is>
          <t>Chưa test</t>
        </is>
      </c>
      <c r="H11" s="14" t="inlineStr"/>
    </row>
  </sheetData>
  <conditionalFormatting sqref="B2:G1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"Chưa test"</formula>
    </cfRule>
  </conditionalFormatting>
  <dataValidations count="1">
    <dataValidation sqref="B2:G11" showDropDown="0" showInputMessage="0" showErrorMessage="0" allowBlank="1" type="list">
      <formula1>"Pass,Fail,Blocked,N/A,Chưa test"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24" customWidth="1" min="3" max="3"/>
    <col width="36" customWidth="1" min="4" max="4"/>
    <col width="40" customWidth="1" min="5" max="5"/>
    <col width="30" customWidth="1" min="6" max="6"/>
    <col width="30" customWidth="1" min="7" max="7"/>
    <col width="14" customWidth="1" min="8" max="8"/>
    <col width="20" customWidth="1" min="9" max="9"/>
    <col width="16" customWidth="1" min="10" max="10"/>
    <col width="14" customWidth="1" min="11" max="11"/>
    <col width="16" customWidth="1" min="12" max="12"/>
    <col width="14" customWidth="1" min="13" max="13"/>
    <col width="12" customWidth="1" min="14" max="14"/>
    <col width="26" customWidth="1" min="15" max="15"/>
  </cols>
  <sheetData>
    <row r="1">
      <c r="A1" s="11" t="inlineStr">
        <is>
          <t>Mã lỗi</t>
        </is>
      </c>
      <c r="B1" s="11" t="inlineStr">
        <is>
          <t>Mã KB liên quan</t>
        </is>
      </c>
      <c r="C1" s="11" t="inlineStr">
        <is>
          <t>Màn hình / Chức năng</t>
        </is>
      </c>
      <c r="D1" s="11" t="inlineStr">
        <is>
          <t>Mô tả lỗi</t>
        </is>
      </c>
      <c r="E1" s="11" t="inlineStr">
        <is>
          <t>Các bước tái hiện</t>
        </is>
      </c>
      <c r="F1" s="11" t="inlineStr">
        <is>
          <t>Kết quả mong đợi</t>
        </is>
      </c>
      <c r="G1" s="11" t="inlineStr">
        <is>
          <t>Kết quả thực tế</t>
        </is>
      </c>
      <c r="H1" s="11" t="inlineStr">
        <is>
          <t>Mức độ</t>
        </is>
      </c>
      <c r="I1" s="11" t="inlineStr">
        <is>
          <t>Thiết bị / Trình duyệt</t>
        </is>
      </c>
      <c r="J1" s="11" t="inlineStr">
        <is>
          <t>Người phát hiện</t>
        </is>
      </c>
      <c r="K1" s="11" t="inlineStr">
        <is>
          <t>Ngày phát hiện</t>
        </is>
      </c>
      <c r="L1" s="11" t="inlineStr">
        <is>
          <t>Trạng thái xử lý</t>
        </is>
      </c>
      <c r="M1" s="11" t="inlineStr">
        <is>
          <t>Người sửa</t>
        </is>
      </c>
      <c r="N1" s="11" t="inlineStr">
        <is>
          <t>Ngày sửa</t>
        </is>
      </c>
      <c r="O1" s="11" t="inlineStr">
        <is>
          <t>Ghi chú</t>
        </is>
      </c>
    </row>
    <row r="2" ht="40" customHeight="1">
      <c r="A2" s="16" t="inlineStr">
        <is>
          <t>BUG-01</t>
        </is>
      </c>
      <c r="B2" s="13" t="inlineStr"/>
      <c r="C2" s="14" t="inlineStr"/>
      <c r="D2" s="14" t="inlineStr"/>
      <c r="E2" s="14" t="inlineStr"/>
      <c r="F2" s="14" t="inlineStr"/>
      <c r="G2" s="14" t="inlineStr"/>
      <c r="H2" s="13" t="inlineStr"/>
      <c r="I2" s="13" t="inlineStr"/>
      <c r="J2" s="13" t="inlineStr"/>
      <c r="K2" s="19" t="inlineStr"/>
      <c r="L2" s="13" t="inlineStr"/>
      <c r="M2" s="13" t="inlineStr"/>
      <c r="N2" s="19" t="inlineStr"/>
      <c r="O2" s="14" t="inlineStr"/>
    </row>
    <row r="3" ht="40" customHeight="1">
      <c r="A3" s="16" t="inlineStr">
        <is>
          <t>BUG-02</t>
        </is>
      </c>
      <c r="B3" s="13" t="inlineStr"/>
      <c r="C3" s="14" t="inlineStr"/>
      <c r="D3" s="14" t="inlineStr"/>
      <c r="E3" s="14" t="inlineStr"/>
      <c r="F3" s="14" t="inlineStr"/>
      <c r="G3" s="14" t="inlineStr"/>
      <c r="H3" s="13" t="inlineStr"/>
      <c r="I3" s="13" t="inlineStr"/>
      <c r="J3" s="13" t="inlineStr"/>
      <c r="K3" s="19" t="inlineStr"/>
      <c r="L3" s="13" t="inlineStr"/>
      <c r="M3" s="13" t="inlineStr"/>
      <c r="N3" s="19" t="inlineStr"/>
      <c r="O3" s="14" t="inlineStr"/>
    </row>
    <row r="4" ht="40" customHeight="1">
      <c r="A4" s="16" t="inlineStr">
        <is>
          <t>BUG-03</t>
        </is>
      </c>
      <c r="B4" s="13" t="inlineStr"/>
      <c r="C4" s="14" t="inlineStr"/>
      <c r="D4" s="14" t="inlineStr"/>
      <c r="E4" s="14" t="inlineStr"/>
      <c r="F4" s="14" t="inlineStr"/>
      <c r="G4" s="14" t="inlineStr"/>
      <c r="H4" s="13" t="inlineStr"/>
      <c r="I4" s="13" t="inlineStr"/>
      <c r="J4" s="13" t="inlineStr"/>
      <c r="K4" s="19" t="inlineStr"/>
      <c r="L4" s="13" t="inlineStr"/>
      <c r="M4" s="13" t="inlineStr"/>
      <c r="N4" s="19" t="inlineStr"/>
      <c r="O4" s="14" t="inlineStr"/>
    </row>
    <row r="5" ht="40" customHeight="1">
      <c r="A5" s="16" t="inlineStr">
        <is>
          <t>BUG-04</t>
        </is>
      </c>
      <c r="B5" s="13" t="inlineStr"/>
      <c r="C5" s="14" t="inlineStr"/>
      <c r="D5" s="14" t="inlineStr"/>
      <c r="E5" s="14" t="inlineStr"/>
      <c r="F5" s="14" t="inlineStr"/>
      <c r="G5" s="14" t="inlineStr"/>
      <c r="H5" s="13" t="inlineStr"/>
      <c r="I5" s="13" t="inlineStr"/>
      <c r="J5" s="13" t="inlineStr"/>
      <c r="K5" s="19" t="inlineStr"/>
      <c r="L5" s="13" t="inlineStr"/>
      <c r="M5" s="13" t="inlineStr"/>
      <c r="N5" s="19" t="inlineStr"/>
      <c r="O5" s="14" t="inlineStr"/>
    </row>
    <row r="6" ht="40" customHeight="1">
      <c r="A6" s="16" t="inlineStr">
        <is>
          <t>BUG-05</t>
        </is>
      </c>
      <c r="B6" s="13" t="inlineStr"/>
      <c r="C6" s="14" t="inlineStr"/>
      <c r="D6" s="14" t="inlineStr"/>
      <c r="E6" s="14" t="inlineStr"/>
      <c r="F6" s="14" t="inlineStr"/>
      <c r="G6" s="14" t="inlineStr"/>
      <c r="H6" s="13" t="inlineStr"/>
      <c r="I6" s="13" t="inlineStr"/>
      <c r="J6" s="13" t="inlineStr"/>
      <c r="K6" s="19" t="inlineStr"/>
      <c r="L6" s="13" t="inlineStr"/>
      <c r="M6" s="13" t="inlineStr"/>
      <c r="N6" s="19" t="inlineStr"/>
      <c r="O6" s="14" t="inlineStr"/>
    </row>
    <row r="7" ht="40" customHeight="1">
      <c r="A7" s="16" t="inlineStr">
        <is>
          <t>BUG-06</t>
        </is>
      </c>
      <c r="B7" s="13" t="inlineStr"/>
      <c r="C7" s="14" t="inlineStr"/>
      <c r="D7" s="14" t="inlineStr"/>
      <c r="E7" s="14" t="inlineStr"/>
      <c r="F7" s="14" t="inlineStr"/>
      <c r="G7" s="14" t="inlineStr"/>
      <c r="H7" s="13" t="inlineStr"/>
      <c r="I7" s="13" t="inlineStr"/>
      <c r="J7" s="13" t="inlineStr"/>
      <c r="K7" s="19" t="inlineStr"/>
      <c r="L7" s="13" t="inlineStr"/>
      <c r="M7" s="13" t="inlineStr"/>
      <c r="N7" s="19" t="inlineStr"/>
      <c r="O7" s="14" t="inlineStr"/>
    </row>
    <row r="8" ht="40" customHeight="1">
      <c r="A8" s="16" t="inlineStr">
        <is>
          <t>BUG-07</t>
        </is>
      </c>
      <c r="B8" s="13" t="inlineStr"/>
      <c r="C8" s="14" t="inlineStr"/>
      <c r="D8" s="14" t="inlineStr"/>
      <c r="E8" s="14" t="inlineStr"/>
      <c r="F8" s="14" t="inlineStr"/>
      <c r="G8" s="14" t="inlineStr"/>
      <c r="H8" s="13" t="inlineStr"/>
      <c r="I8" s="13" t="inlineStr"/>
      <c r="J8" s="13" t="inlineStr"/>
      <c r="K8" s="19" t="inlineStr"/>
      <c r="L8" s="13" t="inlineStr"/>
      <c r="M8" s="13" t="inlineStr"/>
      <c r="N8" s="19" t="inlineStr"/>
      <c r="O8" s="14" t="inlineStr"/>
    </row>
    <row r="9" ht="40" customHeight="1">
      <c r="A9" s="16" t="inlineStr">
        <is>
          <t>BUG-08</t>
        </is>
      </c>
      <c r="B9" s="13" t="inlineStr"/>
      <c r="C9" s="14" t="inlineStr"/>
      <c r="D9" s="14" t="inlineStr"/>
      <c r="E9" s="14" t="inlineStr"/>
      <c r="F9" s="14" t="inlineStr"/>
      <c r="G9" s="14" t="inlineStr"/>
      <c r="H9" s="13" t="inlineStr"/>
      <c r="I9" s="13" t="inlineStr"/>
      <c r="J9" s="13" t="inlineStr"/>
      <c r="K9" s="19" t="inlineStr"/>
      <c r="L9" s="13" t="inlineStr"/>
      <c r="M9" s="13" t="inlineStr"/>
      <c r="N9" s="19" t="inlineStr"/>
      <c r="O9" s="14" t="inlineStr"/>
    </row>
    <row r="10" ht="40" customHeight="1">
      <c r="A10" s="16" t="inlineStr">
        <is>
          <t>BUG-09</t>
        </is>
      </c>
      <c r="B10" s="13" t="inlineStr"/>
      <c r="C10" s="14" t="inlineStr"/>
      <c r="D10" s="14" t="inlineStr"/>
      <c r="E10" s="14" t="inlineStr"/>
      <c r="F10" s="14" t="inlineStr"/>
      <c r="G10" s="14" t="inlineStr"/>
      <c r="H10" s="13" t="inlineStr"/>
      <c r="I10" s="13" t="inlineStr"/>
      <c r="J10" s="13" t="inlineStr"/>
      <c r="K10" s="19" t="inlineStr"/>
      <c r="L10" s="13" t="inlineStr"/>
      <c r="M10" s="13" t="inlineStr"/>
      <c r="N10" s="19" t="inlineStr"/>
      <c r="O10" s="14" t="inlineStr"/>
    </row>
    <row r="11" ht="40" customHeight="1">
      <c r="A11" s="16" t="inlineStr">
        <is>
          <t>BUG-10</t>
        </is>
      </c>
      <c r="B11" s="13" t="inlineStr"/>
      <c r="C11" s="14" t="inlineStr"/>
      <c r="D11" s="14" t="inlineStr"/>
      <c r="E11" s="14" t="inlineStr"/>
      <c r="F11" s="14" t="inlineStr"/>
      <c r="G11" s="14" t="inlineStr"/>
      <c r="H11" s="13" t="inlineStr"/>
      <c r="I11" s="13" t="inlineStr"/>
      <c r="J11" s="13" t="inlineStr"/>
      <c r="K11" s="19" t="inlineStr"/>
      <c r="L11" s="13" t="inlineStr"/>
      <c r="M11" s="13" t="inlineStr"/>
      <c r="N11" s="19" t="inlineStr"/>
      <c r="O11" s="14" t="inlineStr"/>
    </row>
    <row r="12" ht="40" customHeight="1">
      <c r="A12" s="16" t="inlineStr">
        <is>
          <t>BUG-11</t>
        </is>
      </c>
      <c r="B12" s="13" t="inlineStr"/>
      <c r="C12" s="14" t="inlineStr"/>
      <c r="D12" s="14" t="inlineStr"/>
      <c r="E12" s="14" t="inlineStr"/>
      <c r="F12" s="14" t="inlineStr"/>
      <c r="G12" s="14" t="inlineStr"/>
      <c r="H12" s="13" t="inlineStr"/>
      <c r="I12" s="13" t="inlineStr"/>
      <c r="J12" s="13" t="inlineStr"/>
      <c r="K12" s="19" t="inlineStr"/>
      <c r="L12" s="13" t="inlineStr"/>
      <c r="M12" s="13" t="inlineStr"/>
      <c r="N12" s="19" t="inlineStr"/>
      <c r="O12" s="14" t="inlineStr"/>
    </row>
    <row r="13" ht="40" customHeight="1">
      <c r="A13" s="16" t="inlineStr">
        <is>
          <t>BUG-12</t>
        </is>
      </c>
      <c r="B13" s="13" t="inlineStr"/>
      <c r="C13" s="14" t="inlineStr"/>
      <c r="D13" s="14" t="inlineStr"/>
      <c r="E13" s="14" t="inlineStr"/>
      <c r="F13" s="14" t="inlineStr"/>
      <c r="G13" s="14" t="inlineStr"/>
      <c r="H13" s="13" t="inlineStr"/>
      <c r="I13" s="13" t="inlineStr"/>
      <c r="J13" s="13" t="inlineStr"/>
      <c r="K13" s="19" t="inlineStr"/>
      <c r="L13" s="13" t="inlineStr"/>
      <c r="M13" s="13" t="inlineStr"/>
      <c r="N13" s="19" t="inlineStr"/>
      <c r="O13" s="14" t="inlineStr"/>
    </row>
    <row r="14" ht="40" customHeight="1">
      <c r="A14" s="16" t="inlineStr">
        <is>
          <t>BUG-13</t>
        </is>
      </c>
      <c r="B14" s="13" t="inlineStr"/>
      <c r="C14" s="14" t="inlineStr"/>
      <c r="D14" s="14" t="inlineStr"/>
      <c r="E14" s="14" t="inlineStr"/>
      <c r="F14" s="14" t="inlineStr"/>
      <c r="G14" s="14" t="inlineStr"/>
      <c r="H14" s="13" t="inlineStr"/>
      <c r="I14" s="13" t="inlineStr"/>
      <c r="J14" s="13" t="inlineStr"/>
      <c r="K14" s="19" t="inlineStr"/>
      <c r="L14" s="13" t="inlineStr"/>
      <c r="M14" s="13" t="inlineStr"/>
      <c r="N14" s="19" t="inlineStr"/>
      <c r="O14" s="14" t="inlineStr"/>
    </row>
    <row r="15" ht="40" customHeight="1">
      <c r="A15" s="16" t="inlineStr">
        <is>
          <t>BUG-14</t>
        </is>
      </c>
      <c r="B15" s="13" t="inlineStr"/>
      <c r="C15" s="14" t="inlineStr"/>
      <c r="D15" s="14" t="inlineStr"/>
      <c r="E15" s="14" t="inlineStr"/>
      <c r="F15" s="14" t="inlineStr"/>
      <c r="G15" s="14" t="inlineStr"/>
      <c r="H15" s="13" t="inlineStr"/>
      <c r="I15" s="13" t="inlineStr"/>
      <c r="J15" s="13" t="inlineStr"/>
      <c r="K15" s="19" t="inlineStr"/>
      <c r="L15" s="13" t="inlineStr"/>
      <c r="M15" s="13" t="inlineStr"/>
      <c r="N15" s="19" t="inlineStr"/>
      <c r="O15" s="14" t="inlineStr"/>
    </row>
    <row r="16" ht="40" customHeight="1">
      <c r="A16" s="16" t="inlineStr">
        <is>
          <t>BUG-15</t>
        </is>
      </c>
      <c r="B16" s="13" t="inlineStr"/>
      <c r="C16" s="14" t="inlineStr"/>
      <c r="D16" s="14" t="inlineStr"/>
      <c r="E16" s="14" t="inlineStr"/>
      <c r="F16" s="14" t="inlineStr"/>
      <c r="G16" s="14" t="inlineStr"/>
      <c r="H16" s="13" t="inlineStr"/>
      <c r="I16" s="13" t="inlineStr"/>
      <c r="J16" s="13" t="inlineStr"/>
      <c r="K16" s="19" t="inlineStr"/>
      <c r="L16" s="13" t="inlineStr"/>
      <c r="M16" s="13" t="inlineStr"/>
      <c r="N16" s="19" t="inlineStr"/>
      <c r="O16" s="14" t="inlineStr"/>
    </row>
    <row r="17" ht="40" customHeight="1">
      <c r="A17" s="16" t="inlineStr">
        <is>
          <t>BUG-16</t>
        </is>
      </c>
      <c r="B17" s="13" t="inlineStr"/>
      <c r="C17" s="14" t="inlineStr"/>
      <c r="D17" s="14" t="inlineStr"/>
      <c r="E17" s="14" t="inlineStr"/>
      <c r="F17" s="14" t="inlineStr"/>
      <c r="G17" s="14" t="inlineStr"/>
      <c r="H17" s="13" t="inlineStr"/>
      <c r="I17" s="13" t="inlineStr"/>
      <c r="J17" s="13" t="inlineStr"/>
      <c r="K17" s="19" t="inlineStr"/>
      <c r="L17" s="13" t="inlineStr"/>
      <c r="M17" s="13" t="inlineStr"/>
      <c r="N17" s="19" t="inlineStr"/>
      <c r="O17" s="14" t="inlineStr"/>
    </row>
    <row r="18" ht="40" customHeight="1">
      <c r="A18" s="16" t="inlineStr">
        <is>
          <t>BUG-17</t>
        </is>
      </c>
      <c r="B18" s="13" t="inlineStr"/>
      <c r="C18" s="14" t="inlineStr"/>
      <c r="D18" s="14" t="inlineStr"/>
      <c r="E18" s="14" t="inlineStr"/>
      <c r="F18" s="14" t="inlineStr"/>
      <c r="G18" s="14" t="inlineStr"/>
      <c r="H18" s="13" t="inlineStr"/>
      <c r="I18" s="13" t="inlineStr"/>
      <c r="J18" s="13" t="inlineStr"/>
      <c r="K18" s="19" t="inlineStr"/>
      <c r="L18" s="13" t="inlineStr"/>
      <c r="M18" s="13" t="inlineStr"/>
      <c r="N18" s="19" t="inlineStr"/>
      <c r="O18" s="14" t="inlineStr"/>
    </row>
    <row r="19" ht="40" customHeight="1">
      <c r="A19" s="16" t="inlineStr">
        <is>
          <t>BUG-18</t>
        </is>
      </c>
      <c r="B19" s="13" t="inlineStr"/>
      <c r="C19" s="14" t="inlineStr"/>
      <c r="D19" s="14" t="inlineStr"/>
      <c r="E19" s="14" t="inlineStr"/>
      <c r="F19" s="14" t="inlineStr"/>
      <c r="G19" s="14" t="inlineStr"/>
      <c r="H19" s="13" t="inlineStr"/>
      <c r="I19" s="13" t="inlineStr"/>
      <c r="J19" s="13" t="inlineStr"/>
      <c r="K19" s="19" t="inlineStr"/>
      <c r="L19" s="13" t="inlineStr"/>
      <c r="M19" s="13" t="inlineStr"/>
      <c r="N19" s="19" t="inlineStr"/>
      <c r="O19" s="14" t="inlineStr"/>
    </row>
    <row r="20" ht="40" customHeight="1">
      <c r="A20" s="16" t="inlineStr">
        <is>
          <t>BUG-19</t>
        </is>
      </c>
      <c r="B20" s="13" t="inlineStr"/>
      <c r="C20" s="14" t="inlineStr"/>
      <c r="D20" s="14" t="inlineStr"/>
      <c r="E20" s="14" t="inlineStr"/>
      <c r="F20" s="14" t="inlineStr"/>
      <c r="G20" s="14" t="inlineStr"/>
      <c r="H20" s="13" t="inlineStr"/>
      <c r="I20" s="13" t="inlineStr"/>
      <c r="J20" s="13" t="inlineStr"/>
      <c r="K20" s="19" t="inlineStr"/>
      <c r="L20" s="13" t="inlineStr"/>
      <c r="M20" s="13" t="inlineStr"/>
      <c r="N20" s="19" t="inlineStr"/>
      <c r="O20" s="14" t="inlineStr"/>
    </row>
    <row r="21" ht="40" customHeight="1">
      <c r="A21" s="16" t="inlineStr">
        <is>
          <t>BUG-20</t>
        </is>
      </c>
      <c r="B21" s="13" t="inlineStr"/>
      <c r="C21" s="14" t="inlineStr"/>
      <c r="D21" s="14" t="inlineStr"/>
      <c r="E21" s="14" t="inlineStr"/>
      <c r="F21" s="14" t="inlineStr"/>
      <c r="G21" s="14" t="inlineStr"/>
      <c r="H21" s="13" t="inlineStr"/>
      <c r="I21" s="13" t="inlineStr"/>
      <c r="J21" s="13" t="inlineStr"/>
      <c r="K21" s="19" t="inlineStr"/>
      <c r="L21" s="13" t="inlineStr"/>
      <c r="M21" s="13" t="inlineStr"/>
      <c r="N21" s="19" t="inlineStr"/>
      <c r="O21" s="14" t="inlineStr"/>
    </row>
  </sheetData>
  <conditionalFormatting sqref="H2:H21">
    <cfRule type="cellIs" priority="1" operator="equal" dxfId="1">
      <formula>"Nghiêm trọng"</formula>
    </cfRule>
  </conditionalFormatting>
  <conditionalFormatting sqref="L2:L21">
    <cfRule type="cellIs" priority="2" operator="equal" dxfId="0">
      <formula>"Đã kiểm tra lại"</formula>
    </cfRule>
  </conditionalFormatting>
  <dataValidations count="2">
    <dataValidation sqref="H2:H21" showDropDown="0" showInputMessage="0" showErrorMessage="0" allowBlank="1" type="list">
      <formula1>"Nghiêm trọng,Cao,Trung bình,Thấp"</formula1>
    </dataValidation>
    <dataValidation sqref="L2:L21" showDropDown="0" showInputMessage="0" showErrorMessage="0" allowBlank="1" type="list">
      <formula1>"Mới,Đang sửa,Đã sửa,Đã kiểm tra lại,Không sửa"</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44"/>
  <sheetViews>
    <sheetView showGridLines="0" workbookViewId="0">
      <selection activeCell="A1" sqref="A1"/>
    </sheetView>
  </sheetViews>
  <sheetFormatPr baseColWidth="8" defaultRowHeight="15"/>
  <cols>
    <col width="40" customWidth="1" min="1" max="1"/>
    <col width="18" customWidth="1" min="2" max="2"/>
    <col width="16" customWidth="1" min="3" max="3"/>
    <col width="16" customWidth="1" min="4" max="4"/>
    <col width="16" customWidth="1" min="5" max="5"/>
    <col width="16" customWidth="1" min="6" max="6"/>
    <col width="16" customWidth="1" min="7" max="7"/>
    <col width="18" customWidth="1" min="8" max="8"/>
  </cols>
  <sheetData>
    <row r="1">
      <c r="A1" s="20" t="inlineStr">
        <is>
          <t>BIÊN BẢN NGHIỆM THU — KIỂM THỬ THỦ CÔNG CARMATE</t>
        </is>
      </c>
    </row>
    <row r="2">
      <c r="A2" s="10" t="inlineStr">
        <is>
          <t>Số liệu tự động tổng hợp từ sheet 3, 4 và 5 — không nhập tay.</t>
        </is>
      </c>
    </row>
    <row r="4">
      <c r="A4" s="3" t="inlineStr">
        <is>
          <t>TỔNG HỢP KẾT QUẢ</t>
        </is>
      </c>
    </row>
    <row r="5">
      <c r="A5" s="11" t="inlineStr">
        <is>
          <t>Hạng mục</t>
        </is>
      </c>
      <c r="B5" s="11" t="inlineStr">
        <is>
          <t>Tổng số</t>
        </is>
      </c>
      <c r="C5" s="11" t="inlineStr">
        <is>
          <t>Pass</t>
        </is>
      </c>
      <c r="D5" s="11" t="inlineStr">
        <is>
          <t>Fail</t>
        </is>
      </c>
      <c r="E5" s="11" t="inlineStr">
        <is>
          <t>Blocked</t>
        </is>
      </c>
      <c r="F5" s="11" t="inlineStr">
        <is>
          <t>N/A</t>
        </is>
      </c>
      <c r="G5" s="11" t="inlineStr">
        <is>
          <t>Chưa test</t>
        </is>
      </c>
      <c r="H5" s="11" t="inlineStr">
        <is>
          <t>% Pass</t>
        </is>
      </c>
    </row>
    <row r="6">
      <c r="A6" s="21" t="inlineStr">
        <is>
          <t>Kịch bản manual (sheet 3)</t>
        </is>
      </c>
      <c r="B6" s="22">
        <f>COUNTA('3. Kịch bản Manual'!$K$2:$K$113)</f>
        <v/>
      </c>
      <c r="C6" s="22">
        <f>COUNTIF('3. Kịch bản Manual'!$K$2:$K$113,"Pass")</f>
        <v/>
      </c>
      <c r="D6" s="22">
        <f>COUNTIF('3. Kịch bản Manual'!$K$2:$K$113,"Fail")</f>
        <v/>
      </c>
      <c r="E6" s="22">
        <f>COUNTIF('3. Kịch bản Manual'!$K$2:$K$113,"Blocked")</f>
        <v/>
      </c>
      <c r="F6" s="22">
        <f>COUNTIF('3. Kịch bản Manual'!$K$2:$K$113,"N/A")</f>
        <v/>
      </c>
      <c r="G6" s="22">
        <f>COUNTIF('3. Kịch bản Manual'!$K$2:$K$113,"Chưa test")</f>
        <v/>
      </c>
      <c r="H6" s="23">
        <f>IF(B6-F6=0,0,C6/(B6-F6))</f>
        <v/>
      </c>
    </row>
    <row r="7">
      <c r="A7" s="21" t="inlineStr">
        <is>
          <t>Ô ma trận thiết bị (sheet 4)</t>
        </is>
      </c>
      <c r="B7" s="22">
        <f>COUNTA('4. Ma trận thiết bị'!$B$2:$G$11)</f>
        <v/>
      </c>
      <c r="C7" s="22">
        <f>COUNTIF('4. Ma trận thiết bị'!$B$2:$G$11,"Pass")</f>
        <v/>
      </c>
      <c r="D7" s="22">
        <f>COUNTIF('4. Ma trận thiết bị'!$B$2:$G$11,"Fail")</f>
        <v/>
      </c>
      <c r="E7" s="22">
        <f>COUNTIF('4. Ma trận thiết bị'!$B$2:$G$11,"Blocked")</f>
        <v/>
      </c>
      <c r="F7" s="22">
        <f>COUNTIF('4. Ma trận thiết bị'!$B$2:$G$11,"N/A")</f>
        <v/>
      </c>
      <c r="G7" s="22">
        <f>COUNTIF('4. Ma trận thiết bị'!$B$2:$G$11,"Chưa test")</f>
        <v/>
      </c>
      <c r="H7" s="23">
        <f>IF(B7-F7=0,0,C7/(B7-F7))</f>
        <v/>
      </c>
    </row>
    <row r="8">
      <c r="A8" s="24" t="inlineStr">
        <is>
          <t>TỔNG CỘNG</t>
        </is>
      </c>
      <c r="B8" s="25">
        <f>SUM(B6:B7)</f>
        <v/>
      </c>
      <c r="C8" s="25">
        <f>SUM(C6:C7)</f>
        <v/>
      </c>
      <c r="D8" s="25">
        <f>SUM(D6:D7)</f>
        <v/>
      </c>
      <c r="E8" s="25">
        <f>SUM(E6:E7)</f>
        <v/>
      </c>
      <c r="F8" s="25">
        <f>SUM(F6:F7)</f>
        <v/>
      </c>
      <c r="G8" s="25">
        <f>SUM(G6:G7)</f>
        <v/>
      </c>
      <c r="H8" s="26">
        <f>IF(B8-F8=0,0,C8/(B8-F8))</f>
        <v/>
      </c>
    </row>
    <row r="10">
      <c r="A10" s="3" t="inlineStr">
        <is>
          <t>CHI TIẾT THEO LUỒNG NGHIỆP VỤ</t>
        </is>
      </c>
    </row>
    <row r="11">
      <c r="A11" s="15" t="inlineStr">
        <is>
          <t>Luồng nghiệp vụ</t>
        </is>
      </c>
      <c r="B11" s="15" t="inlineStr">
        <is>
          <t>Tổng KB</t>
        </is>
      </c>
      <c r="C11" s="15" t="inlineStr">
        <is>
          <t>Pass</t>
        </is>
      </c>
      <c r="D11" s="15" t="inlineStr">
        <is>
          <t>Fail</t>
        </is>
      </c>
      <c r="E11" s="15" t="inlineStr">
        <is>
          <t>Blocked</t>
        </is>
      </c>
      <c r="F11" s="15" t="inlineStr">
        <is>
          <t>Chưa test</t>
        </is>
      </c>
      <c r="G11" s="15" t="inlineStr">
        <is>
          <t>% Pass</t>
        </is>
      </c>
      <c r="H11" s="15" t="inlineStr">
        <is>
          <t>KB ưu tiên Cao</t>
        </is>
      </c>
    </row>
    <row r="12">
      <c r="A12" s="21" t="inlineStr">
        <is>
          <t>Khách vãng lai</t>
        </is>
      </c>
      <c r="B12" s="22">
        <f>COUNTIF('3. Kịch bản Manual'!$B$2:$B$113,$A12)</f>
        <v/>
      </c>
      <c r="C12" s="22">
        <f>COUNTIFS('3. Kịch bản Manual'!$B$2:$B$113,$A12,'3. Kịch bản Manual'!$K$2:$K$113,"Pass")</f>
        <v/>
      </c>
      <c r="D12" s="22">
        <f>COUNTIFS('3. Kịch bản Manual'!$B$2:$B$113,$A12,'3. Kịch bản Manual'!$K$2:$K$113,"Fail")</f>
        <v/>
      </c>
      <c r="E12" s="22">
        <f>COUNTIFS('3. Kịch bản Manual'!$B$2:$B$113,$A12,'3. Kịch bản Manual'!$K$2:$K$113,"Blocked")</f>
        <v/>
      </c>
      <c r="F12" s="22">
        <f>COUNTIFS('3. Kịch bản Manual'!$B$2:$B$113,$A12,'3. Kịch bản Manual'!$K$2:$K$113,"Chưa test")</f>
        <v/>
      </c>
      <c r="G12" s="23">
        <f>IF(B12=0,0,C12/B12)</f>
        <v/>
      </c>
      <c r="H12" s="22">
        <f>COUNTIFS('3. Kịch bản Manual'!$B$2:$B$113,$A12,'3. Kịch bản Manual'!$E$2:$E$113,"Cao")</f>
        <v/>
      </c>
    </row>
    <row r="13">
      <c r="A13" s="21" t="inlineStr">
        <is>
          <t>Đăng nhập &amp; Tài khoản</t>
        </is>
      </c>
      <c r="B13" s="22">
        <f>COUNTIF('3. Kịch bản Manual'!$B$2:$B$113,$A13)</f>
        <v/>
      </c>
      <c r="C13" s="22">
        <f>COUNTIFS('3. Kịch bản Manual'!$B$2:$B$113,$A13,'3. Kịch bản Manual'!$K$2:$K$113,"Pass")</f>
        <v/>
      </c>
      <c r="D13" s="22">
        <f>COUNTIFS('3. Kịch bản Manual'!$B$2:$B$113,$A13,'3. Kịch bản Manual'!$K$2:$K$113,"Fail")</f>
        <v/>
      </c>
      <c r="E13" s="22">
        <f>COUNTIFS('3. Kịch bản Manual'!$B$2:$B$113,$A13,'3. Kịch bản Manual'!$K$2:$K$113,"Blocked")</f>
        <v/>
      </c>
      <c r="F13" s="22">
        <f>COUNTIFS('3. Kịch bản Manual'!$B$2:$B$113,$A13,'3. Kịch bản Manual'!$K$2:$K$113,"Chưa test")</f>
        <v/>
      </c>
      <c r="G13" s="23">
        <f>IF(B13=0,0,C13/B13)</f>
        <v/>
      </c>
      <c r="H13" s="22">
        <f>COUNTIFS('3. Kịch bản Manual'!$B$2:$B$113,$A13,'3. Kịch bản Manual'!$E$2:$E$113,"Cao")</f>
        <v/>
      </c>
    </row>
    <row r="14">
      <c r="A14" s="21" t="inlineStr">
        <is>
          <t>Chủ xe đăng chuyến</t>
        </is>
      </c>
      <c r="B14" s="22">
        <f>COUNTIF('3. Kịch bản Manual'!$B$2:$B$113,$A14)</f>
        <v/>
      </c>
      <c r="C14" s="22">
        <f>COUNTIFS('3. Kịch bản Manual'!$B$2:$B$113,$A14,'3. Kịch bản Manual'!$K$2:$K$113,"Pass")</f>
        <v/>
      </c>
      <c r="D14" s="22">
        <f>COUNTIFS('3. Kịch bản Manual'!$B$2:$B$113,$A14,'3. Kịch bản Manual'!$K$2:$K$113,"Fail")</f>
        <v/>
      </c>
      <c r="E14" s="22">
        <f>COUNTIFS('3. Kịch bản Manual'!$B$2:$B$113,$A14,'3. Kịch bản Manual'!$K$2:$K$113,"Blocked")</f>
        <v/>
      </c>
      <c r="F14" s="22">
        <f>COUNTIFS('3. Kịch bản Manual'!$B$2:$B$113,$A14,'3. Kịch bản Manual'!$K$2:$K$113,"Chưa test")</f>
        <v/>
      </c>
      <c r="G14" s="23">
        <f>IF(B14=0,0,C14/B14)</f>
        <v/>
      </c>
      <c r="H14" s="22">
        <f>COUNTIFS('3. Kịch bản Manual'!$B$2:$B$113,$A14,'3. Kịch bản Manual'!$E$2:$E$113,"Cao")</f>
        <v/>
      </c>
    </row>
    <row r="15">
      <c r="A15" s="21" t="inlineStr">
        <is>
          <t>Chuyến của tôi</t>
        </is>
      </c>
      <c r="B15" s="22">
        <f>COUNTIF('3. Kịch bản Manual'!$B$2:$B$113,$A15)</f>
        <v/>
      </c>
      <c r="C15" s="22">
        <f>COUNTIFS('3. Kịch bản Manual'!$B$2:$B$113,$A15,'3. Kịch bản Manual'!$K$2:$K$113,"Pass")</f>
        <v/>
      </c>
      <c r="D15" s="22">
        <f>COUNTIFS('3. Kịch bản Manual'!$B$2:$B$113,$A15,'3. Kịch bản Manual'!$K$2:$K$113,"Fail")</f>
        <v/>
      </c>
      <c r="E15" s="22">
        <f>COUNTIFS('3. Kịch bản Manual'!$B$2:$B$113,$A15,'3. Kịch bản Manual'!$K$2:$K$113,"Blocked")</f>
        <v/>
      </c>
      <c r="F15" s="22">
        <f>COUNTIFS('3. Kịch bản Manual'!$B$2:$B$113,$A15,'3. Kịch bản Manual'!$K$2:$K$113,"Chưa test")</f>
        <v/>
      </c>
      <c r="G15" s="23">
        <f>IF(B15=0,0,C15/B15)</f>
        <v/>
      </c>
      <c r="H15" s="22">
        <f>COUNTIFS('3. Kịch bản Manual'!$B$2:$B$113,$A15,'3. Kịch bản Manual'!$E$2:$E$113,"Cao")</f>
        <v/>
      </c>
    </row>
    <row r="16">
      <c r="A16" s="21" t="inlineStr">
        <is>
          <t>Ghép chuyến</t>
        </is>
      </c>
      <c r="B16" s="22">
        <f>COUNTIF('3. Kịch bản Manual'!$B$2:$B$113,$A16)</f>
        <v/>
      </c>
      <c r="C16" s="22">
        <f>COUNTIFS('3. Kịch bản Manual'!$B$2:$B$113,$A16,'3. Kịch bản Manual'!$K$2:$K$113,"Pass")</f>
        <v/>
      </c>
      <c r="D16" s="22">
        <f>COUNTIFS('3. Kịch bản Manual'!$B$2:$B$113,$A16,'3. Kịch bản Manual'!$K$2:$K$113,"Fail")</f>
        <v/>
      </c>
      <c r="E16" s="22">
        <f>COUNTIFS('3. Kịch bản Manual'!$B$2:$B$113,$A16,'3. Kịch bản Manual'!$K$2:$K$113,"Blocked")</f>
        <v/>
      </c>
      <c r="F16" s="22">
        <f>COUNTIFS('3. Kịch bản Manual'!$B$2:$B$113,$A16,'3. Kịch bản Manual'!$K$2:$K$113,"Chưa test")</f>
        <v/>
      </c>
      <c r="G16" s="23">
        <f>IF(B16=0,0,C16/B16)</f>
        <v/>
      </c>
      <c r="H16" s="22">
        <f>COUNTIFS('3. Kịch bản Manual'!$B$2:$B$113,$A16,'3. Kịch bản Manual'!$E$2:$E$113,"Cao")</f>
        <v/>
      </c>
    </row>
    <row r="17">
      <c r="A17" s="21" t="inlineStr">
        <is>
          <t>Sau chuyến đi</t>
        </is>
      </c>
      <c r="B17" s="22">
        <f>COUNTIF('3. Kịch bản Manual'!$B$2:$B$113,$A17)</f>
        <v/>
      </c>
      <c r="C17" s="22">
        <f>COUNTIFS('3. Kịch bản Manual'!$B$2:$B$113,$A17,'3. Kịch bản Manual'!$K$2:$K$113,"Pass")</f>
        <v/>
      </c>
      <c r="D17" s="22">
        <f>COUNTIFS('3. Kịch bản Manual'!$B$2:$B$113,$A17,'3. Kịch bản Manual'!$K$2:$K$113,"Fail")</f>
        <v/>
      </c>
      <c r="E17" s="22">
        <f>COUNTIFS('3. Kịch bản Manual'!$B$2:$B$113,$A17,'3. Kịch bản Manual'!$K$2:$K$113,"Blocked")</f>
        <v/>
      </c>
      <c r="F17" s="22">
        <f>COUNTIFS('3. Kịch bản Manual'!$B$2:$B$113,$A17,'3. Kịch bản Manual'!$K$2:$K$113,"Chưa test")</f>
        <v/>
      </c>
      <c r="G17" s="23">
        <f>IF(B17=0,0,C17/B17)</f>
        <v/>
      </c>
      <c r="H17" s="22">
        <f>COUNTIFS('3. Kịch bản Manual'!$B$2:$B$113,$A17,'3. Kịch bản Manual'!$E$2:$E$113,"Cao")</f>
        <v/>
      </c>
    </row>
    <row r="18">
      <c r="A18" s="21" t="inlineStr">
        <is>
          <t>Radar ghép chuyến</t>
        </is>
      </c>
      <c r="B18" s="22">
        <f>COUNTIF('3. Kịch bản Manual'!$B$2:$B$113,$A18)</f>
        <v/>
      </c>
      <c r="C18" s="22">
        <f>COUNTIFS('3. Kịch bản Manual'!$B$2:$B$113,$A18,'3. Kịch bản Manual'!$K$2:$K$113,"Pass")</f>
        <v/>
      </c>
      <c r="D18" s="22">
        <f>COUNTIFS('3. Kịch bản Manual'!$B$2:$B$113,$A18,'3. Kịch bản Manual'!$K$2:$K$113,"Fail")</f>
        <v/>
      </c>
      <c r="E18" s="22">
        <f>COUNTIFS('3. Kịch bản Manual'!$B$2:$B$113,$A18,'3. Kịch bản Manual'!$K$2:$K$113,"Blocked")</f>
        <v/>
      </c>
      <c r="F18" s="22">
        <f>COUNTIFS('3. Kịch bản Manual'!$B$2:$B$113,$A18,'3. Kịch bản Manual'!$K$2:$K$113,"Chưa test")</f>
        <v/>
      </c>
      <c r="G18" s="23">
        <f>IF(B18=0,0,C18/B18)</f>
        <v/>
      </c>
      <c r="H18" s="22">
        <f>COUNTIFS('3. Kịch bản Manual'!$B$2:$B$113,$A18,'3. Kịch bản Manual'!$E$2:$E$113,"Cao")</f>
        <v/>
      </c>
    </row>
    <row r="19">
      <c r="A19" s="21" t="inlineStr">
        <is>
          <t>Hồ sơ &amp; Tín nhiệm</t>
        </is>
      </c>
      <c r="B19" s="22">
        <f>COUNTIF('3. Kịch bản Manual'!$B$2:$B$113,$A19)</f>
        <v/>
      </c>
      <c r="C19" s="22">
        <f>COUNTIFS('3. Kịch bản Manual'!$B$2:$B$113,$A19,'3. Kịch bản Manual'!$K$2:$K$113,"Pass")</f>
        <v/>
      </c>
      <c r="D19" s="22">
        <f>COUNTIFS('3. Kịch bản Manual'!$B$2:$B$113,$A19,'3. Kịch bản Manual'!$K$2:$K$113,"Fail")</f>
        <v/>
      </c>
      <c r="E19" s="22">
        <f>COUNTIFS('3. Kịch bản Manual'!$B$2:$B$113,$A19,'3. Kịch bản Manual'!$K$2:$K$113,"Blocked")</f>
        <v/>
      </c>
      <c r="F19" s="22">
        <f>COUNTIFS('3. Kịch bản Manual'!$B$2:$B$113,$A19,'3. Kịch bản Manual'!$K$2:$K$113,"Chưa test")</f>
        <v/>
      </c>
      <c r="G19" s="23">
        <f>IF(B19=0,0,C19/B19)</f>
        <v/>
      </c>
      <c r="H19" s="22">
        <f>COUNTIFS('3. Kịch bản Manual'!$B$2:$B$113,$A19,'3. Kịch bản Manual'!$E$2:$E$113,"Cao")</f>
        <v/>
      </c>
    </row>
    <row r="20">
      <c r="A20" s="21" t="inlineStr">
        <is>
          <t>Trợ lý AI</t>
        </is>
      </c>
      <c r="B20" s="22">
        <f>COUNTIF('3. Kịch bản Manual'!$B$2:$B$113,$A20)</f>
        <v/>
      </c>
      <c r="C20" s="22">
        <f>COUNTIFS('3. Kịch bản Manual'!$B$2:$B$113,$A20,'3. Kịch bản Manual'!$K$2:$K$113,"Pass")</f>
        <v/>
      </c>
      <c r="D20" s="22">
        <f>COUNTIFS('3. Kịch bản Manual'!$B$2:$B$113,$A20,'3. Kịch bản Manual'!$K$2:$K$113,"Fail")</f>
        <v/>
      </c>
      <c r="E20" s="22">
        <f>COUNTIFS('3. Kịch bản Manual'!$B$2:$B$113,$A20,'3. Kịch bản Manual'!$K$2:$K$113,"Blocked")</f>
        <v/>
      </c>
      <c r="F20" s="22">
        <f>COUNTIFS('3. Kịch bản Manual'!$B$2:$B$113,$A20,'3. Kịch bản Manual'!$K$2:$K$113,"Chưa test")</f>
        <v/>
      </c>
      <c r="G20" s="23">
        <f>IF(B20=0,0,C20/B20)</f>
        <v/>
      </c>
      <c r="H20" s="22">
        <f>COUNTIFS('3. Kịch bản Manual'!$B$2:$B$113,$A20,'3. Kịch bản Manual'!$E$2:$E$113,"Cao")</f>
        <v/>
      </c>
    </row>
    <row r="21">
      <c r="A21" s="21" t="inlineStr">
        <is>
          <t>Cổng quản trị</t>
        </is>
      </c>
      <c r="B21" s="22">
        <f>COUNTIF('3. Kịch bản Manual'!$B$2:$B$113,$A21)</f>
        <v/>
      </c>
      <c r="C21" s="22">
        <f>COUNTIFS('3. Kịch bản Manual'!$B$2:$B$113,$A21,'3. Kịch bản Manual'!$K$2:$K$113,"Pass")</f>
        <v/>
      </c>
      <c r="D21" s="22">
        <f>COUNTIFS('3. Kịch bản Manual'!$B$2:$B$113,$A21,'3. Kịch bản Manual'!$K$2:$K$113,"Fail")</f>
        <v/>
      </c>
      <c r="E21" s="22">
        <f>COUNTIFS('3. Kịch bản Manual'!$B$2:$B$113,$A21,'3. Kịch bản Manual'!$K$2:$K$113,"Blocked")</f>
        <v/>
      </c>
      <c r="F21" s="22">
        <f>COUNTIFS('3. Kịch bản Manual'!$B$2:$B$113,$A21,'3. Kịch bản Manual'!$K$2:$K$113,"Chưa test")</f>
        <v/>
      </c>
      <c r="G21" s="23">
        <f>IF(B21=0,0,C21/B21)</f>
        <v/>
      </c>
      <c r="H21" s="22">
        <f>COUNTIFS('3. Kịch bản Manual'!$B$2:$B$113,$A21,'3. Kịch bản Manual'!$E$2:$E$113,"Cao")</f>
        <v/>
      </c>
    </row>
    <row r="22">
      <c r="A22" s="21" t="inlineStr">
        <is>
          <t>Bảo mật (thao tác tay)</t>
        </is>
      </c>
      <c r="B22" s="22">
        <f>COUNTIF('3. Kịch bản Manual'!$B$2:$B$113,$A22)</f>
        <v/>
      </c>
      <c r="C22" s="22">
        <f>COUNTIFS('3. Kịch bản Manual'!$B$2:$B$113,$A22,'3. Kịch bản Manual'!$K$2:$K$113,"Pass")</f>
        <v/>
      </c>
      <c r="D22" s="22">
        <f>COUNTIFS('3. Kịch bản Manual'!$B$2:$B$113,$A22,'3. Kịch bản Manual'!$K$2:$K$113,"Fail")</f>
        <v/>
      </c>
      <c r="E22" s="22">
        <f>COUNTIFS('3. Kịch bản Manual'!$B$2:$B$113,$A22,'3. Kịch bản Manual'!$K$2:$K$113,"Blocked")</f>
        <v/>
      </c>
      <c r="F22" s="22">
        <f>COUNTIFS('3. Kịch bản Manual'!$B$2:$B$113,$A22,'3. Kịch bản Manual'!$K$2:$K$113,"Chưa test")</f>
        <v/>
      </c>
      <c r="G22" s="23">
        <f>IF(B22=0,0,C22/B22)</f>
        <v/>
      </c>
      <c r="H22" s="22">
        <f>COUNTIFS('3. Kịch bản Manual'!$B$2:$B$113,$A22,'3. Kịch bản Manual'!$E$2:$E$113,"Cao")</f>
        <v/>
      </c>
    </row>
    <row r="23">
      <c r="A23" s="21" t="inlineStr">
        <is>
          <t>Giao diện &amp; Thiết bị</t>
        </is>
      </c>
      <c r="B23" s="22">
        <f>COUNTIF('3. Kịch bản Manual'!$B$2:$B$113,$A23)</f>
        <v/>
      </c>
      <c r="C23" s="22">
        <f>COUNTIFS('3. Kịch bản Manual'!$B$2:$B$113,$A23,'3. Kịch bản Manual'!$K$2:$K$113,"Pass")</f>
        <v/>
      </c>
      <c r="D23" s="22">
        <f>COUNTIFS('3. Kịch bản Manual'!$B$2:$B$113,$A23,'3. Kịch bản Manual'!$K$2:$K$113,"Fail")</f>
        <v/>
      </c>
      <c r="E23" s="22">
        <f>COUNTIFS('3. Kịch bản Manual'!$B$2:$B$113,$A23,'3. Kịch bản Manual'!$K$2:$K$113,"Blocked")</f>
        <v/>
      </c>
      <c r="F23" s="22">
        <f>COUNTIFS('3. Kịch bản Manual'!$B$2:$B$113,$A23,'3. Kịch bản Manual'!$K$2:$K$113,"Chưa test")</f>
        <v/>
      </c>
      <c r="G23" s="23">
        <f>IF(B23=0,0,C23/B23)</f>
        <v/>
      </c>
      <c r="H23" s="22">
        <f>COUNTIFS('3. Kịch bản Manual'!$B$2:$B$113,$A23,'3. Kịch bản Manual'!$E$2:$E$113,"Cao")</f>
        <v/>
      </c>
    </row>
    <row r="25">
      <c r="A25" s="3" t="inlineStr">
        <is>
          <t>TIÊU CHÍ THÔNG QUA</t>
        </is>
      </c>
    </row>
    <row r="26">
      <c r="A26" s="15" t="inlineStr">
        <is>
          <t>Tiêu chí</t>
        </is>
      </c>
      <c r="B26" s="15" t="inlineStr">
        <is>
          <t>Ngưỡng yêu cầu</t>
        </is>
      </c>
      <c r="C26" s="15" t="inlineStr">
        <is>
          <t>Thực tế</t>
        </is>
      </c>
      <c r="D26" s="15" t="inlineStr">
        <is>
          <t>Đánh giá</t>
        </is>
      </c>
    </row>
    <row r="27">
      <c r="A27" s="27" t="inlineStr">
        <is>
          <t>Không còn kịch bản ưu tiên Cao bị Fail</t>
        </is>
      </c>
      <c r="B27" s="28" t="inlineStr">
        <is>
          <t>Bằng 0</t>
        </is>
      </c>
      <c r="C27" s="28">
        <f>COUNTIFS('3. Kịch bản Manual'!$E$2:$E$113,"Cao",'3. Kịch bản Manual'!$K$2:$K$113,"Fail")</f>
        <v/>
      </c>
      <c r="D27" s="28">
        <f>IF(C27&lt;=0,"ĐẠT","CHƯA ĐẠT")</f>
        <v/>
      </c>
    </row>
    <row r="28">
      <c r="A28" s="27" t="inlineStr">
        <is>
          <t>Không còn kịch bản ưu tiên Cao chưa test hoặc bị chặn</t>
        </is>
      </c>
      <c r="B28" s="28" t="inlineStr">
        <is>
          <t>Bằng 0</t>
        </is>
      </c>
      <c r="C28" s="28">
        <f>COUNTIFS('3. Kịch bản Manual'!$E$2:$E$113,"Cao",'3. Kịch bản Manual'!$K$2:$K$113,"Chưa test")+COUNTIFS('3. Kịch bản Manual'!$E$2:$E$113,"Cao",'3. Kịch bản Manual'!$K$2:$K$113,"Blocked")</f>
        <v/>
      </c>
      <c r="D28" s="28">
        <f>IF(C28&lt;=0,"ĐẠT","CHƯA ĐẠT")</f>
        <v/>
      </c>
    </row>
    <row r="29">
      <c r="A29" s="27" t="inlineStr">
        <is>
          <t>Không còn lỗi mức Nghiêm trọng chưa xử lý</t>
        </is>
      </c>
      <c r="B29" s="28" t="inlineStr">
        <is>
          <t>Bằng 0</t>
        </is>
      </c>
      <c r="C29" s="28">
        <f>COUNTIF('5. Nhật ký lỗi'!$H$2:$H$21,"Nghiêm trọng")-COUNTIFS('5. Nhật ký lỗi'!$H$2:$H$21,"Nghiêm trọng",'5. Nhật ký lỗi'!$L$2:$L$21,"Đã kiểm tra lại")</f>
        <v/>
      </c>
      <c r="D29" s="28">
        <f>IF(C29&lt;=0,"ĐẠT","CHƯA ĐẠT")</f>
        <v/>
      </c>
    </row>
    <row r="30">
      <c r="A30" s="27" t="inlineStr">
        <is>
          <t>Không còn ô ma trận thiết bị bị Fail</t>
        </is>
      </c>
      <c r="B30" s="28" t="inlineStr">
        <is>
          <t>Bằng 0</t>
        </is>
      </c>
      <c r="C30" s="28">
        <f>COUNTIF('4. Ma trận thiết bị'!$B$2:$G$11,"Fail")</f>
        <v/>
      </c>
      <c r="D30" s="28">
        <f>IF(C30&lt;=0,"ĐẠT","CHƯA ĐẠT")</f>
        <v/>
      </c>
    </row>
    <row r="31">
      <c r="A31" s="27" t="inlineStr">
        <is>
          <t>Tỉ lệ Pass toàn bộ kịch bản manual</t>
        </is>
      </c>
      <c r="B31" s="28" t="inlineStr">
        <is>
          <t>Tối thiểu 95%</t>
        </is>
      </c>
      <c r="C31" s="29">
        <f>IF(COUNTA('3. Kịch bản Manual'!$K$2:$K$113)-COUNTIF('3. Kịch bản Manual'!$K$2:$K$113,"N/A")=0,0,COUNTIF('3. Kịch bản Manual'!$K$2:$K$113,"Pass")/(COUNTA('3. Kịch bản Manual'!$K$2:$K$113)-COUNTIF('3. Kịch bản Manual'!$K$2:$K$113,"N/A")))</f>
        <v/>
      </c>
      <c r="D31" s="28">
        <f>IF(C31&gt;=0.95,"ĐẠT","CHƯA ĐẠT")</f>
        <v/>
      </c>
    </row>
    <row r="33">
      <c r="A33" s="3" t="inlineStr">
        <is>
          <t>KẾT LUẬN</t>
        </is>
      </c>
    </row>
    <row r="34">
      <c r="A34" s="30" t="inlineStr">
        <is>
          <t>Trạng thái nghiệm thu</t>
        </is>
      </c>
      <c r="B34" s="31">
        <f>IF(COUNTIF(D27:D31,"ĐẠT")=5,"ĐỦ ĐIỀU KIỆN NGHIỆM THU","CHƯA ĐỦ ĐIỀU KIỆN NGHIỆM THU")</f>
        <v/>
      </c>
      <c r="C34" s="32" t="n"/>
      <c r="D34" s="32" t="n"/>
      <c r="E34" s="32" t="n"/>
    </row>
    <row r="37">
      <c r="A37" s="3" t="inlineStr">
        <is>
          <t>XÁC NHẬN NGHIỆM THU</t>
        </is>
      </c>
    </row>
    <row r="38">
      <c r="A38" s="15" t="inlineStr">
        <is>
          <t>Vai trò</t>
        </is>
      </c>
      <c r="B38" s="15" t="inlineStr">
        <is>
          <t>Họ và tên</t>
        </is>
      </c>
      <c r="C38" s="15" t="inlineStr">
        <is>
          <t>Ý kiến / Điều kiện kèm theo</t>
        </is>
      </c>
      <c r="D38" s="15" t="inlineStr">
        <is>
          <t>Ngày</t>
        </is>
      </c>
      <c r="E38" s="15" t="inlineStr">
        <is>
          <t>Chữ ký</t>
        </is>
      </c>
    </row>
    <row r="39" ht="34" customHeight="1">
      <c r="A39" s="33" t="inlineStr">
        <is>
          <t>Người kiểm thử (QA)</t>
        </is>
      </c>
      <c r="B39" s="34" t="n"/>
      <c r="C39" s="34" t="n"/>
      <c r="D39" s="35" t="n"/>
      <c r="E39" s="34" t="n"/>
    </row>
    <row r="40" ht="34" customHeight="1">
      <c r="A40" s="33" t="inlineStr">
        <is>
          <t>Lập trình viên phụ trách</t>
        </is>
      </c>
      <c r="B40" s="34" t="n"/>
      <c r="C40" s="34" t="n"/>
      <c r="D40" s="35" t="n"/>
      <c r="E40" s="34" t="n"/>
    </row>
    <row r="41" ht="34" customHeight="1">
      <c r="A41" s="33" t="inlineStr">
        <is>
          <t>Chủ sản phẩm / Founder</t>
        </is>
      </c>
      <c r="B41" s="34" t="n"/>
      <c r="C41" s="34" t="n"/>
      <c r="D41" s="35" t="n"/>
      <c r="E41" s="34" t="n"/>
    </row>
    <row r="42" ht="34" customHeight="1">
      <c r="A42" s="33" t="inlineStr">
        <is>
          <t>Đại diện nghiệm thu</t>
        </is>
      </c>
      <c r="B42" s="34" t="n"/>
      <c r="C42" s="34" t="n"/>
      <c r="D42" s="35" t="n"/>
      <c r="E42" s="34" t="n"/>
    </row>
    <row r="44">
      <c r="A44" s="8" t="inlineStr">
        <is>
          <t>Ô nền vàng là phần điền tay. Mọi con số phía trên là công thức, tự tính lại khi cập nhật trạng thái ở sheet 3, 4, 5.</t>
        </is>
      </c>
    </row>
  </sheetData>
  <mergeCells count="4">
    <mergeCell ref="A2:H2"/>
    <mergeCell ref="B34:E34"/>
    <mergeCell ref="A44:H44"/>
    <mergeCell ref="A1:H1"/>
  </mergeCells>
  <conditionalFormatting sqref="D12:D23">
    <cfRule type="cellIs" priority="1" operator="greaterThan" dxfId="1">
      <formula>0</formula>
    </cfRule>
  </conditionalFormatting>
  <conditionalFormatting sqref="G12:G23">
    <cfRule type="cellIs" priority="2" operator="lessThan" dxfId="4">
      <formula>1</formula>
    </cfRule>
  </conditionalFormatting>
  <conditionalFormatting sqref="D27:D31">
    <cfRule type="cellIs" priority="3" operator="equal" dxfId="0">
      <formula>"ĐẠT"</formula>
    </cfRule>
    <cfRule type="cellIs" priority="4" operator="equal" dxfId="1">
      <formula>"CHƯA ĐẠT"</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2026-09-09T07:41:36Z</dcterms:created>
  <dcterms:modified xsi:type="dcterms:W3CDTF">2026-09-09T07:41:36Z</dcterms:modified>
</cp:coreProperties>
</file>